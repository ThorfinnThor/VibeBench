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503134c69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fecbe1f2d394be1"/>
    <x:sheet xmlns:r="http://schemas.openxmlformats.org/officeDocument/2006/relationships" name="Samples" sheetId="2" r:id="R05b3e337f7714b36"/>
    <x:sheet xmlns:r="http://schemas.openxmlformats.org/officeDocument/2006/relationships" name="Protocol" sheetId="3" r:id="R3774918122794eee"/>
    <x:sheet xmlns:r="http://schemas.openxmlformats.org/officeDocument/2006/relationships" name="Lists" sheetId="4" r:id="Rf3a506fdcc94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11111"/>
      <x:name val="Carlito"/>
    </x:font>
    <x:font>
      <x:b/>
      <x:sz val="11"/>
      <x:color rgb="FFFFFFFF"/>
      <x:name val="Carlito"/>
    </x:font>
    <x:font>
      <x:sz val="11"/>
      <x:color rgb="FF553C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D8FF3E"/>
      </x:patternFill>
    </x:fill>
    <x:fill>
      <x:patternFill patternType="solid">
        <x:fgColor rgb="FF2563EB"/>
      </x:patternFill>
    </x:fill>
    <x:fill>
      <x:patternFill patternType="solid">
        <x:fgColor rgb="FFFFF7C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9122ce35c4183" /><Relationship Type="http://schemas.openxmlformats.org/officeDocument/2006/relationships/theme" Target="/xl/theme/theme1.xml" Id="R9021505069104111" /><Relationship Type="http://schemas.openxmlformats.org/officeDocument/2006/relationships/sharedStrings" Target="/xl/sharedStrings.xml" Id="R455005bff02047cc" /><Relationship Type="http://schemas.openxmlformats.org/officeDocument/2006/relationships/worksheet" Target="/xl/worksheets/sheet1.xml" Id="R5fecbe1f2d394be1" /><Relationship Type="http://schemas.openxmlformats.org/officeDocument/2006/relationships/worksheet" Target="/xl/worksheets/sheet2.xml" Id="R05b3e337f7714b36" /><Relationship Type="http://schemas.openxmlformats.org/officeDocument/2006/relationships/worksheet" Target="/xl/worksheets/sheet3.xml" Id="R3774918122794eee" /><Relationship Type="http://schemas.openxmlformats.org/officeDocument/2006/relationships/worksheet" Target="/xl/worksheets/sheet4.xml" Id="Rf3a506fdcc944a67" /></Relationships>
</file>

<file path=xl/tables/table1.xml><?xml version="1.0" encoding="utf-8"?>
<x:table xmlns:x="http://schemas.openxmlformats.org/spreadsheetml/2006/main" id="1" name="HoldoutSamples" displayName="HoldoutSamples" ref="A1:U101" headerRowCount="1" totalsRowCount="0" totalsRowShown="0">
  <x:tableColumns count="21">
    <x:tableColumn id="1" name="sample_id"/>
    <x:tableColumn id="2" name="label"/>
    <x:tableColumn id="3" name="target_group"/>
    <x:tableColumn id="4" name="builder"/>
    <x:tableColumn id="5" name="website_type"/>
    <x:tableColumn id="6" name="target_url"/>
    <x:tableColumn id="7" name="provenance_url"/>
    <x:tableColumn id="8" name="provenance_type"/>
    <x:tableColumn id="9" name="provenance_summary"/>
    <x:tableColumn id="10" name="source_published_at"/>
    <x:tableColumn id="11" name="collected_at"/>
    <x:tableColumn id="12" name="deployment_verified_at"/>
    <x:tableColumn id="13" name="reachability_status"/>
    <x:tableColumn id="14" name="domain_group"/>
    <x:tableColumn id="15" name="project_group"/>
    <x:tableColumn id="16" name="organization_group"/>
    <x:tableColumn id="17" name="development_overlap_check"/>
    <x:tableColumn id="18" name="domain_overlap_check"/>
    <x:tableColumn id="19" name="provenance_review"/>
    <x:tableColumn id="20" name="freeze_status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ac434891004a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</x:cols>
  <x:sheetData>
    <x:row r="1" ht="32" hidden="0" customHeight="1">
      <x:c r="A1" s="3" t="str">
        <x:v>VibeBench Blind Holdout 100 · v0.1</x:v>
      </x:c>
      <x:c r="B1" s="3"/>
      <x:c r="C1" s="3"/>
      <x:c r="D1" s="3"/>
      <x:c r="E1" s="3"/>
      <x:c r="F1" s="3"/>
    </x:row>
    <x:row r="2" ht="15" hidden="0" customHeight="1">
      <x:c r="A2" s="5" t="str">
        <x:v>Acquisition tracker · labels and provenance are frozen before scanner evaluation</x:v>
      </x:c>
      <x:c r="B2" s="5"/>
      <x:c r="C2" s="5"/>
      <x:c r="D2" s="5"/>
      <x:c r="E2" s="5"/>
      <x:c r="F2" s="5"/>
    </x:row>
    <x:row r="3"/>
    <x:row r="4" ht="15" hidden="0" customHeight="1">
      <x:c r="A4" s="7" t="str">
        <x:v>KPI</x:v>
      </x:c>
      <x:c r="B4" s="7" t="str">
        <x:v>Value</x:v>
      </x:c>
    </x:row>
    <x:row r="5" ht="15" hidden="0" customHeight="1">
      <x:c r="A5" t="str">
        <x:v>Target slots</x:v>
      </x:c>
      <x:c r="B5" s="13" t="n">
        <x:f>COUNTA('Samples'!A2:A101)</x:f>
        <x:v>100</x:v>
      </x:c>
    </x:row>
    <x:row r="6" ht="15" hidden="0" customHeight="1">
      <x:c r="A6" t="str">
        <x:v>Targets reviewed</x:v>
      </x:c>
      <x:c r="B6" s="13" t="n">
        <x:f>COUNTIF('Samples'!M2:M101,"REACHABLE")+COUNTIF('Samples'!M2:M101,"FAILED")+COUNTIF('Samples'!M2:M101,"RETRY")</x:f>
        <x:v>2</x:v>
      </x:c>
    </x:row>
    <x:row r="7" ht="15" hidden="0" customHeight="1">
      <x:c r="A7" t="str">
        <x:v>Provenance reviewed</x:v>
      </x:c>
      <x:c r="B7" s="13" t="n">
        <x:f>COUNTIF('Samples'!S2:S101,"PASS")+COUNTIF('Samples'!S2:S101,"FAIL")</x:f>
        <x:v>2</x:v>
      </x:c>
    </x:row>
    <x:row r="8" ht="15" hidden="0" customHeight="1">
      <x:c r="A8" t="str">
        <x:v>Reachable</x:v>
      </x:c>
      <x:c r="B8" s="13" t="n">
        <x:f>COUNTIF('Samples'!M2:M101,"REACHABLE")</x:f>
        <x:v>2</x:v>
      </x:c>
    </x:row>
    <x:row r="9" ht="15" hidden="0" customHeight="1">
      <x:c r="A9" t="str">
        <x:v>Freeze-ready</x:v>
      </x:c>
      <x:c r="B9" s="13" t="n">
        <x:f>COUNTIF('Samples'!T2:T101,"READY")</x:f>
        <x:v>2</x:v>
      </x:c>
    </x:row>
    <x:row r="10" ht="15" hidden="0" customHeight="1">
      <x:c r="A10" t="str">
        <x:v>AI ready</x:v>
      </x:c>
      <x:c r="B10" s="13" t="n">
        <x:f>COUNTIFS('Samples'!B2:B101,"AI",'Samples'!T2:T101,"READY")</x:f>
        <x:v>2</x:v>
      </x:c>
    </x:row>
    <x:row r="11" ht="15" hidden="0" customHeight="1">
      <x:c r="A11" t="str">
        <x:v>Human ready</x:v>
      </x:c>
      <x:c r="B11" s="13" t="n">
        <x:f>COUNTIFS('Samples'!B2:B101,"HUMAN",'Samples'!T2:T101,"READY")</x:f>
        <x:v>0</x:v>
      </x:c>
    </x:row>
    <x:row r="12" ht="15" hidden="0" customHeight="1">
      <x:c r="A12" t="str">
        <x:v>Leakage failures</x:v>
      </x:c>
      <x:c r="B12" s="13" t="n">
        <x:f>COUNTIF('Samples'!Q2:Q101,"FAIL")+COUNTIF('Samples'!R2:R101,"FAIL")</x:f>
        <x:v>0</x:v>
      </x:c>
    </x:row>
    <x:row r="13"/>
    <x:row r="14"/>
    <x:row r="15" ht="15" hidden="0" customHeight="1">
      <x:c r="A15" s="7" t="str">
        <x:v>Target group</x:v>
      </x:c>
      <x:c r="B15" s="7" t="str">
        <x:v>Slots</x:v>
      </x:c>
      <x:c r="C15" s="7" t="str">
        <x:v>Targets reviewed</x:v>
      </x:c>
      <x:c r="D15" s="7" t="str">
        <x:v>Freeze-ready</x:v>
      </x:c>
    </x:row>
    <x:row r="16" ht="15" hidden="0" customHeight="1">
      <x:c r="A16" t="str">
        <x:v>AI_LOVABLE</x:v>
      </x:c>
      <x:c r="B16" t="n">
        <x:v>10</x:v>
      </x:c>
      <x:c r="C16" t="n">
        <x:f>COUNTIFS('Samples'!C2:C101,A16,'Samples'!M2:M101,"REACHABLE")+COUNTIFS('Samples'!C2:C101,A16,'Samples'!M2:M101,"FAILED")+COUNTIFS('Samples'!C2:C101,A16,'Samples'!M2:M101,"RETRY")</x:f>
        <x:v>1</x:v>
      </x:c>
      <x:c r="D16" t="n">
        <x:f>COUNTIFS('Samples'!C2:C101,A16,'Samples'!T2:T101,"READY")</x:f>
        <x:v>1</x:v>
      </x:c>
    </x:row>
    <x:row r="17" ht="15" hidden="0" customHeight="1">
      <x:c r="A17" t="str">
        <x:v>AI_BOLT</x:v>
      </x:c>
      <x:c r="B17" t="n">
        <x:v>10</x:v>
      </x:c>
      <x:c r="C17" t="n">
        <x:f>COUNTIFS('Samples'!C2:C101,A17,'Samples'!M2:M101,"REACHABLE")+COUNTIFS('Samples'!C2:C101,A17,'Samples'!M2:M101,"FAILED")+COUNTIFS('Samples'!C2:C101,A17,'Samples'!M2:M101,"RETRY")</x:f>
        <x:v>1</x:v>
      </x:c>
      <x:c r="D17" t="n">
        <x:f>COUNTIFS('Samples'!C2:C101,A17,'Samples'!T2:T101,"READY")</x:f>
        <x:v>1</x:v>
      </x:c>
    </x:row>
    <x:row r="18" ht="15" hidden="0" customHeight="1">
      <x:c r="A18" t="str">
        <x:v>AI_REPLIT_AGENT</x:v>
      </x:c>
      <x:c r="B18" t="n">
        <x:v>10</x:v>
      </x:c>
      <x:c r="C18" t="n">
        <x:f>COUNTIFS('Samples'!C2:C101,A18,'Samples'!M2:M101,"REACHABLE")+COUNTIFS('Samples'!C2:C101,A18,'Samples'!M2:M101,"FAILED")+COUNTIFS('Samples'!C2:C101,A18,'Samples'!M2:M101,"RETRY")</x:f>
        <x:v>0</x:v>
      </x:c>
      <x:c r="D18" t="n">
        <x:f>COUNTIFS('Samples'!C2:C101,A18,'Samples'!T2:T101,"READY")</x:f>
        <x:v>0</x:v>
      </x:c>
    </x:row>
    <x:row r="19" ht="15" hidden="0" customHeight="1">
      <x:c r="A19" t="str">
        <x:v>AI_V0</x:v>
      </x:c>
      <x:c r="B19" t="n">
        <x:v>10</x:v>
      </x:c>
      <x:c r="C19" t="n">
        <x:f>COUNTIFS('Samples'!C2:C101,A19,'Samples'!M2:M101,"REACHABLE")+COUNTIFS('Samples'!C2:C101,A19,'Samples'!M2:M101,"FAILED")+COUNTIFS('Samples'!C2:C101,A19,'Samples'!M2:M101,"RETRY")</x:f>
        <x:v>0</x:v>
      </x:c>
      <x:c r="D19" t="n">
        <x:f>COUNTIFS('Samples'!C2:C101,A19,'Samples'!T2:T101,"READY")</x:f>
        <x:v>0</x:v>
      </x:c>
    </x:row>
    <x:row r="20" ht="15" hidden="0" customHeight="1">
      <x:c r="A20" t="str">
        <x:v>AI_OTHER_AGENTIC</x:v>
      </x:c>
      <x:c r="B20" t="n">
        <x:v>10</x:v>
      </x:c>
      <x:c r="C20" t="n">
        <x:f>COUNTIFS('Samples'!C2:C101,A20,'Samples'!M2:M101,"REACHABLE")+COUNTIFS('Samples'!C2:C101,A20,'Samples'!M2:M101,"FAILED")+COUNTIFS('Samples'!C2:C101,A20,'Samples'!M2:M101,"RETRY")</x:f>
        <x:v>0</x:v>
      </x:c>
      <x:c r="D20" t="n">
        <x:f>COUNTIFS('Samples'!C2:C101,A20,'Samples'!T2:T101,"READY")</x:f>
        <x:v>0</x:v>
      </x:c>
    </x:row>
    <x:row r="21" ht="15" hidden="0" customHeight="1">
      <x:c r="A21" t="str">
        <x:v>HUMAN_MODERN_APP</x:v>
      </x:c>
      <x:c r="B21" t="n">
        <x:v>10</x:v>
      </x:c>
      <x:c r="C21" t="n">
        <x:f>COUNTIFS('Samples'!C2:C101,A21,'Samples'!M2:M101,"REACHABLE")+COUNTIFS('Samples'!C2:C101,A21,'Samples'!M2:M101,"FAILED")+COUNTIFS('Samples'!C2:C101,A21,'Samples'!M2:M101,"RETRY")</x:f>
        <x:v>0</x:v>
      </x:c>
      <x:c r="D21" t="n">
        <x:f>COUNTIFS('Samples'!C2:C101,A21,'Samples'!T2:T101,"READY")</x:f>
        <x:v>0</x:v>
      </x:c>
    </x:row>
    <x:row r="22" ht="15" hidden="0" customHeight="1">
      <x:c r="A22" t="str">
        <x:v>HUMAN_SAAS</x:v>
      </x:c>
      <x:c r="B22" t="n">
        <x:v>10</x:v>
      </x:c>
      <x:c r="C22" t="n">
        <x:f>COUNTIFS('Samples'!C2:C101,A22,'Samples'!M2:M101,"REACHABLE")+COUNTIFS('Samples'!C2:C101,A22,'Samples'!M2:M101,"FAILED")+COUNTIFS('Samples'!C2:C101,A22,'Samples'!M2:M101,"RETRY")</x:f>
        <x:v>0</x:v>
      </x:c>
      <x:c r="D22" t="n">
        <x:f>COUNTIFS('Samples'!C2:C101,A22,'Samples'!T2:T101,"READY")</x:f>
        <x:v>0</x:v>
      </x:c>
    </x:row>
    <x:row r="23" ht="15" hidden="0" customHeight="1">
      <x:c r="A23" t="str">
        <x:v>HUMAN_PORTFOLIO_AGENCY</x:v>
      </x:c>
      <x:c r="B23" t="n">
        <x:v>10</x:v>
      </x:c>
      <x:c r="C23" t="n">
        <x:f>COUNTIFS('Samples'!C2:C101,A23,'Samples'!M2:M101,"REACHABLE")+COUNTIFS('Samples'!C2:C101,A23,'Samples'!M2:M101,"FAILED")+COUNTIFS('Samples'!C2:C101,A23,'Samples'!M2:M101,"RETRY")</x:f>
        <x:v>0</x:v>
      </x:c>
      <x:c r="D23" t="n">
        <x:f>COUNTIFS('Samples'!C2:C101,A23,'Samples'!T2:T101,"READY")</x:f>
        <x:v>0</x:v>
      </x:c>
    </x:row>
    <x:row r="24" ht="15" hidden="0" customHeight="1">
      <x:c r="A24" t="str">
        <x:v>HUMAN_CONTENT_DOCS</x:v>
      </x:c>
      <x:c r="B24" t="n">
        <x:v>10</x:v>
      </x:c>
      <x:c r="C24" t="n">
        <x:f>COUNTIFS('Samples'!C2:C101,A24,'Samples'!M2:M101,"REACHABLE")+COUNTIFS('Samples'!C2:C101,A24,'Samples'!M2:M101,"FAILED")+COUNTIFS('Samples'!C2:C101,A24,'Samples'!M2:M101,"RETRY")</x:f>
        <x:v>0</x:v>
      </x:c>
      <x:c r="D24" t="n">
        <x:f>COUNTIFS('Samples'!C2:C101,A24,'Samples'!T2:T101,"READY")</x:f>
        <x:v>0</x:v>
      </x:c>
    </x:row>
    <x:row r="25" ht="15" hidden="0" customHeight="1">
      <x:c r="A25" t="str">
        <x:v>HUMAN_PRE_AI_SNAPSHOT</x:v>
      </x:c>
      <x:c r="B25" t="n">
        <x:v>10</x:v>
      </x:c>
      <x:c r="C25" t="n">
        <x:f>COUNTIFS('Samples'!C2:C101,A25,'Samples'!M2:M101,"REACHABLE")+COUNTIFS('Samples'!C2:C101,A25,'Samples'!M2:M101,"FAILED")+COUNTIFS('Samples'!C2:C101,A25,'Samples'!M2:M101,"RETRY")</x:f>
        <x:v>0</x:v>
      </x:c>
      <x:c r="D25" t="n">
        <x:f>COUNTIFS('Samples'!C2:C101,A25,'Samples'!T2:T101,"READY")</x:f>
        <x:v>0</x:v>
      </x:c>
    </x:row>
    <x:row r="26"/>
    <x:row r="27"/>
    <x:row r="28" ht="15" hidden="0" customHeight="1">
      <x:c r="A28" s="8" t="str">
        <x:v>Freeze gate</x:v>
      </x:c>
      <x:c r="B28" s="8"/>
      <x:c r="C28" s="8"/>
      <x:c r="D28" s="8"/>
      <x:c r="E28" s="8"/>
      <x:c r="F28" s="8"/>
    </x:row>
    <x:row r="29" ht="34" customHeight="1">
      <x:c r="A29" s="12" t="str">
        <x:v>Do not run the scanner on this holdout until all 100 rows are complete, leakage checks pass, provenance is reviewed, the manifest hash is written, and the scanner commit is fixed.</x:v>
      </x:c>
      <x:c r="B29" s="12"/>
      <x:c r="C29" s="12"/>
      <x:c r="D29" s="12"/>
      <x:c r="E29" s="12"/>
      <x:c r="F29" s="12"/>
    </x:row>
    <x:row r="30" ht="34" customHeight="1">
      <x:c r="A30" s="12"/>
      <x:c r="B30" s="12"/>
      <x:c r="C30" s="12"/>
      <x:c r="D30" s="12"/>
      <x:c r="E30" s="12"/>
      <x:c r="F30" s="12"/>
    </x:row>
    <x:row r="31" ht="34" customHeight="1">
      <x:c r="A31" s="12"/>
      <x:c r="B31" s="12"/>
      <x:c r="C31" s="12"/>
      <x:c r="D31" s="12"/>
      <x:c r="E31" s="12"/>
      <x:c r="F31" s="12"/>
    </x:row>
  </x:sheetData>
  <x:mergeCells>
    <x:mergeCell ref="A1:F1"/>
    <x:mergeCell ref="A2:F2"/>
    <x:mergeCell ref="A28:F28"/>
    <x:mergeCell ref="A29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20" hidden="0" customWidth="1"/>
    <x:col min="6" max="6" width="34" hidden="0" customWidth="1"/>
    <x:col min="7" max="7" width="34" hidden="0" customWidth="1"/>
    <x:col min="8" max="8" width="28" hidden="0" customWidth="1"/>
    <x:col min="9" max="9" width="38" hidden="0" customWidth="1"/>
    <x:col min="10" max="10" width="15" hidden="0" customWidth="1"/>
    <x:col min="11" max="11" width="15" hidden="0" customWidth="1"/>
    <x:col min="12" max="12" width="15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32" hidden="0" customWidth="1"/>
  </x:cols>
  <x:sheetData>
    <x:row r="1" ht="42" customHeight="1">
      <x:c r="A1" s="15" t="str">
        <x:v>sample_id</x:v>
      </x:c>
      <x:c r="B1" s="15" t="str">
        <x:v>label</x:v>
      </x:c>
      <x:c r="C1" s="15" t="str">
        <x:v>target_group</x:v>
      </x:c>
      <x:c r="D1" s="15" t="str">
        <x:v>builder</x:v>
      </x:c>
      <x:c r="E1" s="15" t="str">
        <x:v>website_type</x:v>
      </x:c>
      <x:c r="F1" s="15" t="str">
        <x:v>target_url</x:v>
      </x:c>
      <x:c r="G1" s="15" t="str">
        <x:v>provenance_url</x:v>
      </x:c>
      <x:c r="H1" s="15" t="str">
        <x:v>provenance_type</x:v>
      </x:c>
      <x:c r="I1" s="15" t="str">
        <x:v>provenance_summary</x:v>
      </x:c>
      <x:c r="J1" s="15" t="str">
        <x:v>source_published_at</x:v>
      </x:c>
      <x:c r="K1" s="15" t="str">
        <x:v>collected_at</x:v>
      </x:c>
      <x:c r="L1" s="15" t="str">
        <x:v>deployment_verified_at</x:v>
      </x:c>
      <x:c r="M1" s="15" t="str">
        <x:v>reachability_status</x:v>
      </x:c>
      <x:c r="N1" s="15" t="str">
        <x:v>domain_group</x:v>
      </x:c>
      <x:c r="O1" s="15" t="str">
        <x:v>project_group</x:v>
      </x:c>
      <x:c r="P1" s="15" t="str">
        <x:v>organization_group</x:v>
      </x:c>
      <x:c r="Q1" s="15" t="str">
        <x:v>development_overlap_check</x:v>
      </x:c>
      <x:c r="R1" s="15" t="str">
        <x:v>domain_overlap_check</x:v>
      </x:c>
      <x:c r="S1" s="15" t="str">
        <x:v>provenance_review</x:v>
      </x:c>
      <x:c r="T1" s="15" t="str">
        <x:v>freeze_status</x:v>
      </x:c>
      <x:c r="U1" s="15" t="str">
        <x:v>notes</x:v>
      </x:c>
    </x:row>
    <x:row r="2">
      <x:c r="A2" s="17" t="str">
        <x:v>HO-AI-LOVABLE-01</x:v>
      </x:c>
      <x:c r="B2" s="17" t="str">
        <x:v>AI</x:v>
      </x:c>
      <x:c r="C2" s="17" t="str">
        <x:v>AI_LOVABLE</x:v>
      </x:c>
      <x:c r="D2" s="17" t="str">
        <x:v>Lovable</x:v>
      </x:c>
      <x:c r="E2" s="19" t="str">
        <x:v>Consumer web app / astrology</x:v>
      </x:c>
      <x:c r="F2" s="19" t="str">
        <x:v>https://starmate.love/</x:v>
      </x:c>
      <x:c r="G2" s="19" t="str">
        <x:v>https://lovable.dev/blog/mike-burns-ai-filmmaking-studio-platform</x:v>
      </x:c>
      <x:c r="H2" s="19" t="str">
        <x:v>official_builder_story</x:v>
      </x:c>
      <x:c r="I2" s="19" t="str">
        <x:v>Lovable's official story quotes the maker saying he built the StarMate astrology app with Lovable and links this exact deployment.</x:v>
      </x:c>
      <x:c r="J2" s="20" t="str">
        <x:v>2025-04-15</x:v>
      </x:c>
      <x:c r="K2" s="20" t="str">
        <x:v>2026-08-09</x:v>
      </x:c>
      <x:c r="L2" s="20" t="str">
        <x:v>2026-08-09</x:v>
      </x:c>
      <x:c r="M2" s="19" t="str">
        <x:v>REACHABLE</x:v>
      </x:c>
      <x:c r="N2" s="19" t="str">
        <x:v>starmate.love</x:v>
      </x:c>
      <x:c r="O2" s="19" t="str">
        <x:v>starmate</x:v>
      </x:c>
      <x:c r="P2" s="19" t="str">
        <x:v>mike-burns-starmate</x:v>
      </x:c>
      <x:c r="Q2" s="19" t="str">
        <x:v>PASS</x:v>
      </x:c>
      <x:c r="R2" s="19" t="str">
        <x:v>PASS</x:v>
      </x:c>
      <x:c r="S2" s="19" t="str">
        <x:v>PASS</x:v>
      </x:c>
      <x:c r="T2" s="19" t="str">
        <x:f>IF(AND(E2&lt;&gt;"",F2&lt;&gt;"",G2&lt;&gt;"",H2&lt;&gt;"",I2&lt;&gt;"",K2&lt;&gt;"",L2&lt;&gt;"",M2="REACHABLE",N2&lt;&gt;"",O2&lt;&gt;"",Q2="PASS",R2="PASS",S2="PASS"),"READY","PENDING")</x:f>
        <x:v>READY</x:v>
      </x:c>
      <x:c r="U2" s="19" t="str">
        <x:v>Public deployment opened independently; no Development-set match found.</x:v>
      </x:c>
    </x:row>
    <x:row r="3">
      <x:c r="A3" s="17" t="str">
        <x:v>HO-AI-LOVABLE-02</x:v>
      </x:c>
      <x:c r="B3" s="17" t="str">
        <x:v>AI</x:v>
      </x:c>
      <x:c r="C3" s="17" t="str">
        <x:v>AI_LOVABLE</x:v>
      </x:c>
      <x:c r="D3" s="17" t="str">
        <x:v>Lovable</x:v>
      </x:c>
      <x:c r="E3" s="19" t="str"/>
      <x:c r="F3" s="19" t="str"/>
      <x:c r="G3" s="19" t="str"/>
      <x:c r="H3" s="19" t="str"/>
      <x:c r="I3" s="19" t="str"/>
      <x:c r="J3" s="20" t="str"/>
      <x:c r="K3" s="20" t="str"/>
      <x:c r="L3" s="20" t="str"/>
      <x:c r="M3" s="19" t="str">
        <x:v>PENDING</x:v>
      </x:c>
      <x:c r="N3" s="19" t="str"/>
      <x:c r="O3" s="19" t="str"/>
      <x:c r="P3" s="19" t="str"/>
      <x:c r="Q3" s="19" t="str">
        <x:v>PENDING</x:v>
      </x:c>
      <x:c r="R3" s="19" t="str">
        <x:v>PENDING</x:v>
      </x:c>
      <x:c r="S3" s="19" t="str">
        <x:v>PENDING</x:v>
      </x:c>
      <x:c r="T3" s="19" t="str">
        <x:f>IF(AND(E3&lt;&gt;"",F3&lt;&gt;"",G3&lt;&gt;"",H3&lt;&gt;"",I3&lt;&gt;"",K3&lt;&gt;"",L3&lt;&gt;"",M3="REACHABLE",N3&lt;&gt;"",O3&lt;&gt;"",Q3="PASS",R3="PASS",S3="PASS"),"READY","PENDING")</x:f>
        <x:v>PENDING</x:v>
      </x:c>
      <x:c r="U3" s="19" t="str"/>
    </x:row>
    <x:row r="4">
      <x:c r="A4" s="17" t="str">
        <x:v>HO-AI-LOVABLE-03</x:v>
      </x:c>
      <x:c r="B4" s="17" t="str">
        <x:v>AI</x:v>
      </x:c>
      <x:c r="C4" s="17" t="str">
        <x:v>AI_LOVABLE</x:v>
      </x:c>
      <x:c r="D4" s="17" t="str">
        <x:v>Lovable</x:v>
      </x:c>
      <x:c r="E4" s="19" t="str"/>
      <x:c r="F4" s="19" t="str"/>
      <x:c r="G4" s="19" t="str"/>
      <x:c r="H4" s="19" t="str"/>
      <x:c r="I4" s="19" t="str"/>
      <x:c r="J4" s="20" t="str"/>
      <x:c r="K4" s="20" t="str"/>
      <x:c r="L4" s="20" t="str"/>
      <x:c r="M4" s="19" t="str">
        <x:v>PENDING</x:v>
      </x:c>
      <x:c r="N4" s="19" t="str"/>
      <x:c r="O4" s="19" t="str"/>
      <x:c r="P4" s="19" t="str"/>
      <x:c r="Q4" s="19" t="str">
        <x:v>PENDING</x:v>
      </x:c>
      <x:c r="R4" s="19" t="str">
        <x:v>PENDING</x:v>
      </x:c>
      <x:c r="S4" s="19" t="str">
        <x:v>PENDING</x:v>
      </x:c>
      <x:c r="T4" s="19" t="str">
        <x:f>IF(AND(E4&lt;&gt;"",F4&lt;&gt;"",G4&lt;&gt;"",H4&lt;&gt;"",I4&lt;&gt;"",K4&lt;&gt;"",L4&lt;&gt;"",M4="REACHABLE",N4&lt;&gt;"",O4&lt;&gt;"",Q4="PASS",R4="PASS",S4="PASS"),"READY","PENDING")</x:f>
        <x:v>PENDING</x:v>
      </x:c>
      <x:c r="U4" s="19" t="str"/>
    </x:row>
    <x:row r="5">
      <x:c r="A5" s="17" t="str">
        <x:v>HO-AI-LOVABLE-04</x:v>
      </x:c>
      <x:c r="B5" s="17" t="str">
        <x:v>AI</x:v>
      </x:c>
      <x:c r="C5" s="17" t="str">
        <x:v>AI_LOVABLE</x:v>
      </x:c>
      <x:c r="D5" s="17" t="str">
        <x:v>Lovable</x:v>
      </x:c>
      <x:c r="E5" s="19" t="str"/>
      <x:c r="F5" s="19" t="str"/>
      <x:c r="G5" s="19" t="str"/>
      <x:c r="H5" s="19" t="str"/>
      <x:c r="I5" s="19" t="str"/>
      <x:c r="J5" s="20" t="str"/>
      <x:c r="K5" s="20" t="str"/>
      <x:c r="L5" s="20" t="str"/>
      <x:c r="M5" s="19" t="str">
        <x:v>PENDING</x:v>
      </x:c>
      <x:c r="N5" s="19" t="str"/>
      <x:c r="O5" s="19" t="str"/>
      <x:c r="P5" s="19" t="str"/>
      <x:c r="Q5" s="19" t="str">
        <x:v>PENDING</x:v>
      </x:c>
      <x:c r="R5" s="19" t="str">
        <x:v>PENDING</x:v>
      </x:c>
      <x:c r="S5" s="19" t="str">
        <x:v>PENDING</x:v>
      </x:c>
      <x:c r="T5" s="19" t="str">
        <x:f>IF(AND(E5&lt;&gt;"",F5&lt;&gt;"",G5&lt;&gt;"",H5&lt;&gt;"",I5&lt;&gt;"",K5&lt;&gt;"",L5&lt;&gt;"",M5="REACHABLE",N5&lt;&gt;"",O5&lt;&gt;"",Q5="PASS",R5="PASS",S5="PASS"),"READY","PENDING")</x:f>
        <x:v>PENDING</x:v>
      </x:c>
      <x:c r="U5" s="19" t="str"/>
    </x:row>
    <x:row r="6">
      <x:c r="A6" s="17" t="str">
        <x:v>HO-AI-LOVABLE-05</x:v>
      </x:c>
      <x:c r="B6" s="17" t="str">
        <x:v>AI</x:v>
      </x:c>
      <x:c r="C6" s="17" t="str">
        <x:v>AI_LOVABLE</x:v>
      </x:c>
      <x:c r="D6" s="17" t="str">
        <x:v>Lovable</x:v>
      </x:c>
      <x:c r="E6" s="19" t="str"/>
      <x:c r="F6" s="19" t="str"/>
      <x:c r="G6" s="19" t="str"/>
      <x:c r="H6" s="19" t="str"/>
      <x:c r="I6" s="19" t="str"/>
      <x:c r="J6" s="20" t="str"/>
      <x:c r="K6" s="20" t="str"/>
      <x:c r="L6" s="20" t="str"/>
      <x:c r="M6" s="19" t="str">
        <x:v>PENDING</x:v>
      </x:c>
      <x:c r="N6" s="19" t="str"/>
      <x:c r="O6" s="19" t="str"/>
      <x:c r="P6" s="19" t="str"/>
      <x:c r="Q6" s="19" t="str">
        <x:v>PENDING</x:v>
      </x:c>
      <x:c r="R6" s="19" t="str">
        <x:v>PENDING</x:v>
      </x:c>
      <x:c r="S6" s="19" t="str">
        <x:v>PENDING</x:v>
      </x:c>
      <x:c r="T6" s="19" t="str">
        <x:f>IF(AND(E6&lt;&gt;"",F6&lt;&gt;"",G6&lt;&gt;"",H6&lt;&gt;"",I6&lt;&gt;"",K6&lt;&gt;"",L6&lt;&gt;"",M6="REACHABLE",N6&lt;&gt;"",O6&lt;&gt;"",Q6="PASS",R6="PASS",S6="PASS"),"READY","PENDING")</x:f>
        <x:v>PENDING</x:v>
      </x:c>
      <x:c r="U6" s="19" t="str"/>
    </x:row>
    <x:row r="7">
      <x:c r="A7" s="17" t="str">
        <x:v>HO-AI-LOVABLE-06</x:v>
      </x:c>
      <x:c r="B7" s="17" t="str">
        <x:v>AI</x:v>
      </x:c>
      <x:c r="C7" s="17" t="str">
        <x:v>AI_LOVABLE</x:v>
      </x:c>
      <x:c r="D7" s="17" t="str">
        <x:v>Lovable</x:v>
      </x:c>
      <x:c r="E7" s="19" t="str"/>
      <x:c r="F7" s="19" t="str"/>
      <x:c r="G7" s="19" t="str"/>
      <x:c r="H7" s="19" t="str"/>
      <x:c r="I7" s="19" t="str"/>
      <x:c r="J7" s="20" t="str"/>
      <x:c r="K7" s="20" t="str"/>
      <x:c r="L7" s="20" t="str"/>
      <x:c r="M7" s="19" t="str">
        <x:v>PENDING</x:v>
      </x:c>
      <x:c r="N7" s="19" t="str"/>
      <x:c r="O7" s="19" t="str"/>
      <x:c r="P7" s="19" t="str"/>
      <x:c r="Q7" s="19" t="str">
        <x:v>PENDING</x:v>
      </x:c>
      <x:c r="R7" s="19" t="str">
        <x:v>PENDING</x:v>
      </x:c>
      <x:c r="S7" s="19" t="str">
        <x:v>PENDING</x:v>
      </x:c>
      <x:c r="T7" s="19" t="str">
        <x:f>IF(AND(E7&lt;&gt;"",F7&lt;&gt;"",G7&lt;&gt;"",H7&lt;&gt;"",I7&lt;&gt;"",K7&lt;&gt;"",L7&lt;&gt;"",M7="REACHABLE",N7&lt;&gt;"",O7&lt;&gt;"",Q7="PASS",R7="PASS",S7="PASS"),"READY","PENDING")</x:f>
        <x:v>PENDING</x:v>
      </x:c>
      <x:c r="U7" s="19" t="str"/>
    </x:row>
    <x:row r="8">
      <x:c r="A8" s="17" t="str">
        <x:v>HO-AI-LOVABLE-07</x:v>
      </x:c>
      <x:c r="B8" s="17" t="str">
        <x:v>AI</x:v>
      </x:c>
      <x:c r="C8" s="17" t="str">
        <x:v>AI_LOVABLE</x:v>
      </x:c>
      <x:c r="D8" s="17" t="str">
        <x:v>Lovable</x:v>
      </x:c>
      <x:c r="E8" s="19" t="str"/>
      <x:c r="F8" s="19" t="str"/>
      <x:c r="G8" s="19" t="str"/>
      <x:c r="H8" s="19" t="str"/>
      <x:c r="I8" s="19" t="str"/>
      <x:c r="J8" s="20" t="str"/>
      <x:c r="K8" s="20" t="str"/>
      <x:c r="L8" s="20" t="str"/>
      <x:c r="M8" s="19" t="str">
        <x:v>PENDING</x:v>
      </x:c>
      <x:c r="N8" s="19" t="str"/>
      <x:c r="O8" s="19" t="str"/>
      <x:c r="P8" s="19" t="str"/>
      <x:c r="Q8" s="19" t="str">
        <x:v>PENDING</x:v>
      </x:c>
      <x:c r="R8" s="19" t="str">
        <x:v>PENDING</x:v>
      </x:c>
      <x:c r="S8" s="19" t="str">
        <x:v>PENDING</x:v>
      </x:c>
      <x:c r="T8" s="19" t="str">
        <x:f>IF(AND(E8&lt;&gt;"",F8&lt;&gt;"",G8&lt;&gt;"",H8&lt;&gt;"",I8&lt;&gt;"",K8&lt;&gt;"",L8&lt;&gt;"",M8="REACHABLE",N8&lt;&gt;"",O8&lt;&gt;"",Q8="PASS",R8="PASS",S8="PASS"),"READY","PENDING")</x:f>
        <x:v>PENDING</x:v>
      </x:c>
      <x:c r="U8" s="19" t="str"/>
    </x:row>
    <x:row r="9">
      <x:c r="A9" s="17" t="str">
        <x:v>HO-AI-LOVABLE-08</x:v>
      </x:c>
      <x:c r="B9" s="17" t="str">
        <x:v>AI</x:v>
      </x:c>
      <x:c r="C9" s="17" t="str">
        <x:v>AI_LOVABLE</x:v>
      </x:c>
      <x:c r="D9" s="17" t="str">
        <x:v>Lovable</x:v>
      </x:c>
      <x:c r="E9" s="19" t="str"/>
      <x:c r="F9" s="19" t="str"/>
      <x:c r="G9" s="19" t="str"/>
      <x:c r="H9" s="19" t="str"/>
      <x:c r="I9" s="19" t="str"/>
      <x:c r="J9" s="20" t="str"/>
      <x:c r="K9" s="20" t="str"/>
      <x:c r="L9" s="20" t="str"/>
      <x:c r="M9" s="19" t="str">
        <x:v>PENDING</x:v>
      </x:c>
      <x:c r="N9" s="19" t="str"/>
      <x:c r="O9" s="19" t="str"/>
      <x:c r="P9" s="19" t="str"/>
      <x:c r="Q9" s="19" t="str">
        <x:v>PENDING</x:v>
      </x:c>
      <x:c r="R9" s="19" t="str">
        <x:v>PENDING</x:v>
      </x:c>
      <x:c r="S9" s="19" t="str">
        <x:v>PENDING</x:v>
      </x:c>
      <x:c r="T9" s="19" t="str">
        <x:f>IF(AND(E9&lt;&gt;"",F9&lt;&gt;"",G9&lt;&gt;"",H9&lt;&gt;"",I9&lt;&gt;"",K9&lt;&gt;"",L9&lt;&gt;"",M9="REACHABLE",N9&lt;&gt;"",O9&lt;&gt;"",Q9="PASS",R9="PASS",S9="PASS"),"READY","PENDING")</x:f>
        <x:v>PENDING</x:v>
      </x:c>
      <x:c r="U9" s="19" t="str"/>
    </x:row>
    <x:row r="10">
      <x:c r="A10" s="17" t="str">
        <x:v>HO-AI-LOVABLE-09</x:v>
      </x:c>
      <x:c r="B10" s="17" t="str">
        <x:v>AI</x:v>
      </x:c>
      <x:c r="C10" s="17" t="str">
        <x:v>AI_LOVABLE</x:v>
      </x:c>
      <x:c r="D10" s="17" t="str">
        <x:v>Lovable</x:v>
      </x:c>
      <x:c r="E10" s="19" t="str"/>
      <x:c r="F10" s="19" t="str"/>
      <x:c r="G10" s="19" t="str"/>
      <x:c r="H10" s="19" t="str"/>
      <x:c r="I10" s="19" t="str"/>
      <x:c r="J10" s="20" t="str"/>
      <x:c r="K10" s="20" t="str"/>
      <x:c r="L10" s="20" t="str"/>
      <x:c r="M10" s="19" t="str">
        <x:v>PENDING</x:v>
      </x:c>
      <x:c r="N10" s="19" t="str"/>
      <x:c r="O10" s="19" t="str"/>
      <x:c r="P10" s="19" t="str"/>
      <x:c r="Q10" s="19" t="str">
        <x:v>PENDING</x:v>
      </x:c>
      <x:c r="R10" s="19" t="str">
        <x:v>PENDING</x:v>
      </x:c>
      <x:c r="S10" s="19" t="str">
        <x:v>PENDING</x:v>
      </x:c>
      <x:c r="T10" s="19" t="str">
        <x:f>IF(AND(E10&lt;&gt;"",F10&lt;&gt;"",G10&lt;&gt;"",H10&lt;&gt;"",I10&lt;&gt;"",K10&lt;&gt;"",L10&lt;&gt;"",M10="REACHABLE",N10&lt;&gt;"",O10&lt;&gt;"",Q10="PASS",R10="PASS",S10="PASS"),"READY","PENDING")</x:f>
        <x:v>PENDING</x:v>
      </x:c>
      <x:c r="U10" s="19" t="str"/>
    </x:row>
    <x:row r="11">
      <x:c r="A11" s="17" t="str">
        <x:v>HO-AI-LOVABLE-10</x:v>
      </x:c>
      <x:c r="B11" s="17" t="str">
        <x:v>AI</x:v>
      </x:c>
      <x:c r="C11" s="17" t="str">
        <x:v>AI_LOVABLE</x:v>
      </x:c>
      <x:c r="D11" s="17" t="str">
        <x:v>Lovable</x:v>
      </x:c>
      <x:c r="E11" s="19" t="str"/>
      <x:c r="F11" s="19" t="str"/>
      <x:c r="G11" s="19" t="str"/>
      <x:c r="H11" s="19" t="str"/>
      <x:c r="I11" s="19" t="str"/>
      <x:c r="J11" s="20" t="str"/>
      <x:c r="K11" s="20" t="str"/>
      <x:c r="L11" s="20" t="str"/>
      <x:c r="M11" s="19" t="str">
        <x:v>PENDING</x:v>
      </x:c>
      <x:c r="N11" s="19" t="str"/>
      <x:c r="O11" s="19" t="str"/>
      <x:c r="P11" s="19" t="str"/>
      <x:c r="Q11" s="19" t="str">
        <x:v>PENDING</x:v>
      </x:c>
      <x:c r="R11" s="19" t="str">
        <x:v>PENDING</x:v>
      </x:c>
      <x:c r="S11" s="19" t="str">
        <x:v>PENDING</x:v>
      </x:c>
      <x:c r="T11" s="19" t="str">
        <x:f>IF(AND(E11&lt;&gt;"",F11&lt;&gt;"",G11&lt;&gt;"",H11&lt;&gt;"",I11&lt;&gt;"",K11&lt;&gt;"",L11&lt;&gt;"",M11="REACHABLE",N11&lt;&gt;"",O11&lt;&gt;"",Q11="PASS",R11="PASS",S11="PASS"),"READY","PENDING")</x:f>
        <x:v>PENDING</x:v>
      </x:c>
      <x:c r="U11" s="19" t="str"/>
    </x:row>
    <x:row r="12">
      <x:c r="A12" s="17" t="str">
        <x:v>HO-AI-BOLT-01</x:v>
      </x:c>
      <x:c r="B12" s="17" t="str">
        <x:v>AI</x:v>
      </x:c>
      <x:c r="C12" s="17" t="str">
        <x:v>AI_BOLT</x:v>
      </x:c>
      <x:c r="D12" s="17" t="str">
        <x:v>Bolt</x:v>
      </x:c>
      <x:c r="E12" s="19" t="str">
        <x:v>E-commerce / AI art</x:v>
      </x:c>
      <x:c r="F12" s="19" t="str">
        <x:v>https://framemyhome.ai/</x:v>
      </x:c>
      <x:c r="G12" s="19" t="str">
        <x:v>https://bolt.new/blog/how-ceo-built-two-businesses-with-bolt</x:v>
      </x:c>
      <x:c r="H12" s="19" t="str">
        <x:v>official_builder_story</x:v>
      </x:c>
      <x:c r="I12" s="19" t="str">
        <x:v>Bolt's official customer story identifies Frame My Home as a live product with Bolt as its primary build environment.</x:v>
      </x:c>
      <x:c r="J12" s="20" t="str">
        <x:v>2025-12-15</x:v>
      </x:c>
      <x:c r="K12" s="20" t="str">
        <x:v>2026-08-09</x:v>
      </x:c>
      <x:c r="L12" s="20" t="str">
        <x:v>2026-08-09</x:v>
      </x:c>
      <x:c r="M12" s="19" t="str">
        <x:v>REACHABLE</x:v>
      </x:c>
      <x:c r="N12" s="19" t="str">
        <x:v>framemyhome.ai</x:v>
      </x:c>
      <x:c r="O12" s="19" t="str">
        <x:v>frame-my-home</x:v>
      </x:c>
      <x:c r="P12" s="19" t="str">
        <x:v>msh-studios-simon-berg</x:v>
      </x:c>
      <x:c r="Q12" s="19" t="str">
        <x:v>PASS</x:v>
      </x:c>
      <x:c r="R12" s="19" t="str">
        <x:v>PASS</x:v>
      </x:c>
      <x:c r="S12" s="19" t="str">
        <x:v>PASS</x:v>
      </x:c>
      <x:c r="T12" s="19" t="str">
        <x:f>IF(AND(E12&lt;&gt;"",F12&lt;&gt;"",G12&lt;&gt;"",H12&lt;&gt;"",I12&lt;&gt;"",K12&lt;&gt;"",L12&lt;&gt;"",M12="REACHABLE",N12&lt;&gt;"",O12&lt;&gt;"",Q12="PASS",R12="PASS",S12="PASS"),"READY","PENDING")</x:f>
        <x:v>READY</x:v>
      </x:c>
      <x:c r="U12" s="19" t="str">
        <x:v>Public deployment opened independently; no Development-set match found.</x:v>
      </x:c>
    </x:row>
    <x:row r="13">
      <x:c r="A13" s="17" t="str">
        <x:v>HO-AI-BOLT-02</x:v>
      </x:c>
      <x:c r="B13" s="17" t="str">
        <x:v>AI</x:v>
      </x:c>
      <x:c r="C13" s="17" t="str">
        <x:v>AI_BOLT</x:v>
      </x:c>
      <x:c r="D13" s="17" t="str">
        <x:v>Bolt</x:v>
      </x:c>
      <x:c r="E13" s="19" t="str"/>
      <x:c r="F13" s="19" t="str"/>
      <x:c r="G13" s="19" t="str"/>
      <x:c r="H13" s="19" t="str"/>
      <x:c r="I13" s="19" t="str"/>
      <x:c r="J13" s="20" t="str"/>
      <x:c r="K13" s="20" t="str"/>
      <x:c r="L13" s="20" t="str"/>
      <x:c r="M13" s="19" t="str">
        <x:v>PENDING</x:v>
      </x:c>
      <x:c r="N13" s="19" t="str"/>
      <x:c r="O13" s="19" t="str"/>
      <x:c r="P13" s="19" t="str"/>
      <x:c r="Q13" s="19" t="str">
        <x:v>PENDING</x:v>
      </x:c>
      <x:c r="R13" s="19" t="str">
        <x:v>PENDING</x:v>
      </x:c>
      <x:c r="S13" s="19" t="str">
        <x:v>PENDING</x:v>
      </x:c>
      <x:c r="T13" s="19" t="str">
        <x:f>IF(AND(E13&lt;&gt;"",F13&lt;&gt;"",G13&lt;&gt;"",H13&lt;&gt;"",I13&lt;&gt;"",K13&lt;&gt;"",L13&lt;&gt;"",M13="REACHABLE",N13&lt;&gt;"",O13&lt;&gt;"",Q13="PASS",R13="PASS",S13="PASS"),"READY","PENDING")</x:f>
        <x:v>PENDING</x:v>
      </x:c>
      <x:c r="U13" s="19" t="str"/>
    </x:row>
    <x:row r="14">
      <x:c r="A14" s="17" t="str">
        <x:v>HO-AI-BOLT-03</x:v>
      </x:c>
      <x:c r="B14" s="17" t="str">
        <x:v>AI</x:v>
      </x:c>
      <x:c r="C14" s="17" t="str">
        <x:v>AI_BOLT</x:v>
      </x:c>
      <x:c r="D14" s="17" t="str">
        <x:v>Bolt</x:v>
      </x:c>
      <x:c r="E14" s="19" t="str"/>
      <x:c r="F14" s="19" t="str"/>
      <x:c r="G14" s="19" t="str"/>
      <x:c r="H14" s="19" t="str"/>
      <x:c r="I14" s="19" t="str"/>
      <x:c r="J14" s="20" t="str"/>
      <x:c r="K14" s="20" t="str"/>
      <x:c r="L14" s="20" t="str"/>
      <x:c r="M14" s="19" t="str">
        <x:v>PENDING</x:v>
      </x:c>
      <x:c r="N14" s="19" t="str"/>
      <x:c r="O14" s="19" t="str"/>
      <x:c r="P14" s="19" t="str"/>
      <x:c r="Q14" s="19" t="str">
        <x:v>PENDING</x:v>
      </x:c>
      <x:c r="R14" s="19" t="str">
        <x:v>PENDING</x:v>
      </x:c>
      <x:c r="S14" s="19" t="str">
        <x:v>PENDING</x:v>
      </x:c>
      <x:c r="T14" s="19" t="str">
        <x:f>IF(AND(E14&lt;&gt;"",F14&lt;&gt;"",G14&lt;&gt;"",H14&lt;&gt;"",I14&lt;&gt;"",K14&lt;&gt;"",L14&lt;&gt;"",M14="REACHABLE",N14&lt;&gt;"",O14&lt;&gt;"",Q14="PASS",R14="PASS",S14="PASS"),"READY","PENDING")</x:f>
        <x:v>PENDING</x:v>
      </x:c>
      <x:c r="U14" s="19" t="str"/>
    </x:row>
    <x:row r="15">
      <x:c r="A15" s="17" t="str">
        <x:v>HO-AI-BOLT-04</x:v>
      </x:c>
      <x:c r="B15" s="17" t="str">
        <x:v>AI</x:v>
      </x:c>
      <x:c r="C15" s="17" t="str">
        <x:v>AI_BOLT</x:v>
      </x:c>
      <x:c r="D15" s="17" t="str">
        <x:v>Bolt</x:v>
      </x:c>
      <x:c r="E15" s="19" t="str"/>
      <x:c r="F15" s="19" t="str"/>
      <x:c r="G15" s="19" t="str"/>
      <x:c r="H15" s="19" t="str"/>
      <x:c r="I15" s="19" t="str"/>
      <x:c r="J15" s="20" t="str"/>
      <x:c r="K15" s="20" t="str"/>
      <x:c r="L15" s="20" t="str"/>
      <x:c r="M15" s="19" t="str">
        <x:v>PENDING</x:v>
      </x:c>
      <x:c r="N15" s="19" t="str"/>
      <x:c r="O15" s="19" t="str"/>
      <x:c r="P15" s="19" t="str"/>
      <x:c r="Q15" s="19" t="str">
        <x:v>PENDING</x:v>
      </x:c>
      <x:c r="R15" s="19" t="str">
        <x:v>PENDING</x:v>
      </x:c>
      <x:c r="S15" s="19" t="str">
        <x:v>PENDING</x:v>
      </x:c>
      <x:c r="T15" s="19" t="str">
        <x:f>IF(AND(E15&lt;&gt;"",F15&lt;&gt;"",G15&lt;&gt;"",H15&lt;&gt;"",I15&lt;&gt;"",K15&lt;&gt;"",L15&lt;&gt;"",M15="REACHABLE",N15&lt;&gt;"",O15&lt;&gt;"",Q15="PASS",R15="PASS",S15="PASS"),"READY","PENDING")</x:f>
        <x:v>PENDING</x:v>
      </x:c>
      <x:c r="U15" s="19" t="str"/>
    </x:row>
    <x:row r="16">
      <x:c r="A16" s="17" t="str">
        <x:v>HO-AI-BOLT-05</x:v>
      </x:c>
      <x:c r="B16" s="17" t="str">
        <x:v>AI</x:v>
      </x:c>
      <x:c r="C16" s="17" t="str">
        <x:v>AI_BOLT</x:v>
      </x:c>
      <x:c r="D16" s="17" t="str">
        <x:v>Bolt</x:v>
      </x:c>
      <x:c r="E16" s="19" t="str"/>
      <x:c r="F16" s="19" t="str"/>
      <x:c r="G16" s="19" t="str"/>
      <x:c r="H16" s="19" t="str"/>
      <x:c r="I16" s="19" t="str"/>
      <x:c r="J16" s="20" t="str"/>
      <x:c r="K16" s="20" t="str"/>
      <x:c r="L16" s="20" t="str"/>
      <x:c r="M16" s="19" t="str">
        <x:v>PENDING</x:v>
      </x:c>
      <x:c r="N16" s="19" t="str"/>
      <x:c r="O16" s="19" t="str"/>
      <x:c r="P16" s="19" t="str"/>
      <x:c r="Q16" s="19" t="str">
        <x:v>PENDING</x:v>
      </x:c>
      <x:c r="R16" s="19" t="str">
        <x:v>PENDING</x:v>
      </x:c>
      <x:c r="S16" s="19" t="str">
        <x:v>PENDING</x:v>
      </x:c>
      <x:c r="T16" s="19" t="str">
        <x:f>IF(AND(E16&lt;&gt;"",F16&lt;&gt;"",G16&lt;&gt;"",H16&lt;&gt;"",I16&lt;&gt;"",K16&lt;&gt;"",L16&lt;&gt;"",M16="REACHABLE",N16&lt;&gt;"",O16&lt;&gt;"",Q16="PASS",R16="PASS",S16="PASS"),"READY","PENDING")</x:f>
        <x:v>PENDING</x:v>
      </x:c>
      <x:c r="U16" s="19" t="str"/>
    </x:row>
    <x:row r="17">
      <x:c r="A17" s="17" t="str">
        <x:v>HO-AI-BOLT-06</x:v>
      </x:c>
      <x:c r="B17" s="17" t="str">
        <x:v>AI</x:v>
      </x:c>
      <x:c r="C17" s="17" t="str">
        <x:v>AI_BOLT</x:v>
      </x:c>
      <x:c r="D17" s="17" t="str">
        <x:v>Bolt</x:v>
      </x:c>
      <x:c r="E17" s="19" t="str"/>
      <x:c r="F17" s="19" t="str"/>
      <x:c r="G17" s="19" t="str"/>
      <x:c r="H17" s="19" t="str"/>
      <x:c r="I17" s="19" t="str"/>
      <x:c r="J17" s="20" t="str"/>
      <x:c r="K17" s="20" t="str"/>
      <x:c r="L17" s="20" t="str"/>
      <x:c r="M17" s="19" t="str">
        <x:v>PENDING</x:v>
      </x:c>
      <x:c r="N17" s="19" t="str"/>
      <x:c r="O17" s="19" t="str"/>
      <x:c r="P17" s="19" t="str"/>
      <x:c r="Q17" s="19" t="str">
        <x:v>PENDING</x:v>
      </x:c>
      <x:c r="R17" s="19" t="str">
        <x:v>PENDING</x:v>
      </x:c>
      <x:c r="S17" s="19" t="str">
        <x:v>PENDING</x:v>
      </x:c>
      <x:c r="T17" s="19" t="str">
        <x:f>IF(AND(E17&lt;&gt;"",F17&lt;&gt;"",G17&lt;&gt;"",H17&lt;&gt;"",I17&lt;&gt;"",K17&lt;&gt;"",L17&lt;&gt;"",M17="REACHABLE",N17&lt;&gt;"",O17&lt;&gt;"",Q17="PASS",R17="PASS",S17="PASS"),"READY","PENDING")</x:f>
        <x:v>PENDING</x:v>
      </x:c>
      <x:c r="U17" s="19" t="str"/>
    </x:row>
    <x:row r="18">
      <x:c r="A18" s="17" t="str">
        <x:v>HO-AI-BOLT-07</x:v>
      </x:c>
      <x:c r="B18" s="17" t="str">
        <x:v>AI</x:v>
      </x:c>
      <x:c r="C18" s="17" t="str">
        <x:v>AI_BOLT</x:v>
      </x:c>
      <x:c r="D18" s="17" t="str">
        <x:v>Bolt</x:v>
      </x:c>
      <x:c r="E18" s="19" t="str"/>
      <x:c r="F18" s="19" t="str"/>
      <x:c r="G18" s="19" t="str"/>
      <x:c r="H18" s="19" t="str"/>
      <x:c r="I18" s="19" t="str"/>
      <x:c r="J18" s="20" t="str"/>
      <x:c r="K18" s="20" t="str"/>
      <x:c r="L18" s="20" t="str"/>
      <x:c r="M18" s="19" t="str">
        <x:v>PENDING</x:v>
      </x:c>
      <x:c r="N18" s="19" t="str"/>
      <x:c r="O18" s="19" t="str"/>
      <x:c r="P18" s="19" t="str"/>
      <x:c r="Q18" s="19" t="str">
        <x:v>PENDING</x:v>
      </x:c>
      <x:c r="R18" s="19" t="str">
        <x:v>PENDING</x:v>
      </x:c>
      <x:c r="S18" s="19" t="str">
        <x:v>PENDING</x:v>
      </x:c>
      <x:c r="T18" s="19" t="str">
        <x:f>IF(AND(E18&lt;&gt;"",F18&lt;&gt;"",G18&lt;&gt;"",H18&lt;&gt;"",I18&lt;&gt;"",K18&lt;&gt;"",L18&lt;&gt;"",M18="REACHABLE",N18&lt;&gt;"",O18&lt;&gt;"",Q18="PASS",R18="PASS",S18="PASS"),"READY","PENDING")</x:f>
        <x:v>PENDING</x:v>
      </x:c>
      <x:c r="U18" s="19" t="str"/>
    </x:row>
    <x:row r="19">
      <x:c r="A19" s="17" t="str">
        <x:v>HO-AI-BOLT-08</x:v>
      </x:c>
      <x:c r="B19" s="17" t="str">
        <x:v>AI</x:v>
      </x:c>
      <x:c r="C19" s="17" t="str">
        <x:v>AI_BOLT</x:v>
      </x:c>
      <x:c r="D19" s="17" t="str">
        <x:v>Bolt</x:v>
      </x:c>
      <x:c r="E19" s="19" t="str"/>
      <x:c r="F19" s="19" t="str"/>
      <x:c r="G19" s="19" t="str"/>
      <x:c r="H19" s="19" t="str"/>
      <x:c r="I19" s="19" t="str"/>
      <x:c r="J19" s="20" t="str"/>
      <x:c r="K19" s="20" t="str"/>
      <x:c r="L19" s="20" t="str"/>
      <x:c r="M19" s="19" t="str">
        <x:v>PENDING</x:v>
      </x:c>
      <x:c r="N19" s="19" t="str"/>
      <x:c r="O19" s="19" t="str"/>
      <x:c r="P19" s="19" t="str"/>
      <x:c r="Q19" s="19" t="str">
        <x:v>PENDING</x:v>
      </x:c>
      <x:c r="R19" s="19" t="str">
        <x:v>PENDING</x:v>
      </x:c>
      <x:c r="S19" s="19" t="str">
        <x:v>PENDING</x:v>
      </x:c>
      <x:c r="T19" s="19" t="str">
        <x:f>IF(AND(E19&lt;&gt;"",F19&lt;&gt;"",G19&lt;&gt;"",H19&lt;&gt;"",I19&lt;&gt;"",K19&lt;&gt;"",L19&lt;&gt;"",M19="REACHABLE",N19&lt;&gt;"",O19&lt;&gt;"",Q19="PASS",R19="PASS",S19="PASS"),"READY","PENDING")</x:f>
        <x:v>PENDING</x:v>
      </x:c>
      <x:c r="U19" s="19" t="str"/>
    </x:row>
    <x:row r="20">
      <x:c r="A20" s="17" t="str">
        <x:v>HO-AI-BOLT-09</x:v>
      </x:c>
      <x:c r="B20" s="17" t="str">
        <x:v>AI</x:v>
      </x:c>
      <x:c r="C20" s="17" t="str">
        <x:v>AI_BOLT</x:v>
      </x:c>
      <x:c r="D20" s="17" t="str">
        <x:v>Bolt</x:v>
      </x:c>
      <x:c r="E20" s="19" t="str"/>
      <x:c r="F20" s="19" t="str"/>
      <x:c r="G20" s="19" t="str"/>
      <x:c r="H20" s="19" t="str"/>
      <x:c r="I20" s="19" t="str"/>
      <x:c r="J20" s="20" t="str"/>
      <x:c r="K20" s="20" t="str"/>
      <x:c r="L20" s="20" t="str"/>
      <x:c r="M20" s="19" t="str">
        <x:v>PENDING</x:v>
      </x:c>
      <x:c r="N20" s="19" t="str"/>
      <x:c r="O20" s="19" t="str"/>
      <x:c r="P20" s="19" t="str"/>
      <x:c r="Q20" s="19" t="str">
        <x:v>PENDING</x:v>
      </x:c>
      <x:c r="R20" s="19" t="str">
        <x:v>PENDING</x:v>
      </x:c>
      <x:c r="S20" s="19" t="str">
        <x:v>PENDING</x:v>
      </x:c>
      <x:c r="T20" s="19" t="str">
        <x:f>IF(AND(E20&lt;&gt;"",F20&lt;&gt;"",G20&lt;&gt;"",H20&lt;&gt;"",I20&lt;&gt;"",K20&lt;&gt;"",L20&lt;&gt;"",M20="REACHABLE",N20&lt;&gt;"",O20&lt;&gt;"",Q20="PASS",R20="PASS",S20="PASS"),"READY","PENDING")</x:f>
        <x:v>PENDING</x:v>
      </x:c>
      <x:c r="U20" s="19" t="str"/>
    </x:row>
    <x:row r="21">
      <x:c r="A21" s="17" t="str">
        <x:v>HO-AI-BOLT-10</x:v>
      </x:c>
      <x:c r="B21" s="17" t="str">
        <x:v>AI</x:v>
      </x:c>
      <x:c r="C21" s="17" t="str">
        <x:v>AI_BOLT</x:v>
      </x:c>
      <x:c r="D21" s="17" t="str">
        <x:v>Bolt</x:v>
      </x:c>
      <x:c r="E21" s="19" t="str"/>
      <x:c r="F21" s="19" t="str"/>
      <x:c r="G21" s="19" t="str"/>
      <x:c r="H21" s="19" t="str"/>
      <x:c r="I21" s="19" t="str"/>
      <x:c r="J21" s="20" t="str"/>
      <x:c r="K21" s="20" t="str"/>
      <x:c r="L21" s="20" t="str"/>
      <x:c r="M21" s="19" t="str">
        <x:v>PENDING</x:v>
      </x:c>
      <x:c r="N21" s="19" t="str"/>
      <x:c r="O21" s="19" t="str"/>
      <x:c r="P21" s="19" t="str"/>
      <x:c r="Q21" s="19" t="str">
        <x:v>PENDING</x:v>
      </x:c>
      <x:c r="R21" s="19" t="str">
        <x:v>PENDING</x:v>
      </x:c>
      <x:c r="S21" s="19" t="str">
        <x:v>PENDING</x:v>
      </x:c>
      <x:c r="T21" s="19" t="str">
        <x:f>IF(AND(E21&lt;&gt;"",F21&lt;&gt;"",G21&lt;&gt;"",H21&lt;&gt;"",I21&lt;&gt;"",K21&lt;&gt;"",L21&lt;&gt;"",M21="REACHABLE",N21&lt;&gt;"",O21&lt;&gt;"",Q21="PASS",R21="PASS",S21="PASS"),"READY","PENDING")</x:f>
        <x:v>PENDING</x:v>
      </x:c>
      <x:c r="U21" s="19" t="str"/>
    </x:row>
    <x:row r="22">
      <x:c r="A22" s="17" t="str">
        <x:v>HO-AI-REPLIT-AGENT-01</x:v>
      </x:c>
      <x:c r="B22" s="17" t="str">
        <x:v>AI</x:v>
      </x:c>
      <x:c r="C22" s="17" t="str">
        <x:v>AI_REPLIT_AGENT</x:v>
      </x:c>
      <x:c r="D22" s="17" t="str">
        <x:v>Replit Agent</x:v>
      </x:c>
      <x:c r="E22" s="19" t="str"/>
      <x:c r="F22" s="19" t="str"/>
      <x:c r="G22" s="19" t="str"/>
      <x:c r="H22" s="19" t="str"/>
      <x:c r="I22" s="19" t="str"/>
      <x:c r="J22" s="20" t="str"/>
      <x:c r="K22" s="20" t="str"/>
      <x:c r="L22" s="20" t="str"/>
      <x:c r="M22" s="19" t="str">
        <x:v>PENDING</x:v>
      </x:c>
      <x:c r="N22" s="19" t="str"/>
      <x:c r="O22" s="19" t="str"/>
      <x:c r="P22" s="19" t="str"/>
      <x:c r="Q22" s="19" t="str">
        <x:v>PENDING</x:v>
      </x:c>
      <x:c r="R22" s="19" t="str">
        <x:v>PENDING</x:v>
      </x:c>
      <x:c r="S22" s="19" t="str">
        <x:v>PENDING</x:v>
      </x:c>
      <x:c r="T22" s="19" t="str">
        <x:f>IF(AND(E22&lt;&gt;"",F22&lt;&gt;"",G22&lt;&gt;"",H22&lt;&gt;"",I22&lt;&gt;"",K22&lt;&gt;"",L22&lt;&gt;"",M22="REACHABLE",N22&lt;&gt;"",O22&lt;&gt;"",Q22="PASS",R22="PASS",S22="PASS"),"READY","PENDING")</x:f>
        <x:v>PENDING</x:v>
      </x:c>
      <x:c r="U22" s="19" t="str"/>
    </x:row>
    <x:row r="23">
      <x:c r="A23" s="17" t="str">
        <x:v>HO-AI-REPLIT-AGENT-02</x:v>
      </x:c>
      <x:c r="B23" s="17" t="str">
        <x:v>AI</x:v>
      </x:c>
      <x:c r="C23" s="17" t="str">
        <x:v>AI_REPLIT_AGENT</x:v>
      </x:c>
      <x:c r="D23" s="17" t="str">
        <x:v>Replit Agent</x:v>
      </x:c>
      <x:c r="E23" s="19" t="str"/>
      <x:c r="F23" s="19" t="str"/>
      <x:c r="G23" s="19" t="str"/>
      <x:c r="H23" s="19" t="str"/>
      <x:c r="I23" s="19" t="str"/>
      <x:c r="J23" s="20" t="str"/>
      <x:c r="K23" s="20" t="str"/>
      <x:c r="L23" s="20" t="str"/>
      <x:c r="M23" s="19" t="str">
        <x:v>PENDING</x:v>
      </x:c>
      <x:c r="N23" s="19" t="str"/>
      <x:c r="O23" s="19" t="str"/>
      <x:c r="P23" s="19" t="str"/>
      <x:c r="Q23" s="19" t="str">
        <x:v>PENDING</x:v>
      </x:c>
      <x:c r="R23" s="19" t="str">
        <x:v>PENDING</x:v>
      </x:c>
      <x:c r="S23" s="19" t="str">
        <x:v>PENDING</x:v>
      </x:c>
      <x:c r="T23" s="19" t="str">
        <x:f>IF(AND(E23&lt;&gt;"",F23&lt;&gt;"",G23&lt;&gt;"",H23&lt;&gt;"",I23&lt;&gt;"",K23&lt;&gt;"",L23&lt;&gt;"",M23="REACHABLE",N23&lt;&gt;"",O23&lt;&gt;"",Q23="PASS",R23="PASS",S23="PASS"),"READY","PENDING")</x:f>
        <x:v>PENDING</x:v>
      </x:c>
      <x:c r="U23" s="19" t="str"/>
    </x:row>
    <x:row r="24">
      <x:c r="A24" s="17" t="str">
        <x:v>HO-AI-REPLIT-AGENT-03</x:v>
      </x:c>
      <x:c r="B24" s="17" t="str">
        <x:v>AI</x:v>
      </x:c>
      <x:c r="C24" s="17" t="str">
        <x:v>AI_REPLIT_AGENT</x:v>
      </x:c>
      <x:c r="D24" s="17" t="str">
        <x:v>Replit Agent</x:v>
      </x:c>
      <x:c r="E24" s="19" t="str"/>
      <x:c r="F24" s="19" t="str"/>
      <x:c r="G24" s="19" t="str"/>
      <x:c r="H24" s="19" t="str"/>
      <x:c r="I24" s="19" t="str"/>
      <x:c r="J24" s="20" t="str"/>
      <x:c r="K24" s="20" t="str"/>
      <x:c r="L24" s="20" t="str"/>
      <x:c r="M24" s="19" t="str">
        <x:v>PENDING</x:v>
      </x:c>
      <x:c r="N24" s="19" t="str"/>
      <x:c r="O24" s="19" t="str"/>
      <x:c r="P24" s="19" t="str"/>
      <x:c r="Q24" s="19" t="str">
        <x:v>PENDING</x:v>
      </x:c>
      <x:c r="R24" s="19" t="str">
        <x:v>PENDING</x:v>
      </x:c>
      <x:c r="S24" s="19" t="str">
        <x:v>PENDING</x:v>
      </x:c>
      <x:c r="T24" s="19" t="str">
        <x:f>IF(AND(E24&lt;&gt;"",F24&lt;&gt;"",G24&lt;&gt;"",H24&lt;&gt;"",I24&lt;&gt;"",K24&lt;&gt;"",L24&lt;&gt;"",M24="REACHABLE",N24&lt;&gt;"",O24&lt;&gt;"",Q24="PASS",R24="PASS",S24="PASS"),"READY","PENDING")</x:f>
        <x:v>PENDING</x:v>
      </x:c>
      <x:c r="U24" s="19" t="str"/>
    </x:row>
    <x:row r="25">
      <x:c r="A25" s="17" t="str">
        <x:v>HO-AI-REPLIT-AGENT-04</x:v>
      </x:c>
      <x:c r="B25" s="17" t="str">
        <x:v>AI</x:v>
      </x:c>
      <x:c r="C25" s="17" t="str">
        <x:v>AI_REPLIT_AGENT</x:v>
      </x:c>
      <x:c r="D25" s="17" t="str">
        <x:v>Replit Agent</x:v>
      </x:c>
      <x:c r="E25" s="19" t="str"/>
      <x:c r="F25" s="19" t="str"/>
      <x:c r="G25" s="19" t="str"/>
      <x:c r="H25" s="19" t="str"/>
      <x:c r="I25" s="19" t="str"/>
      <x:c r="J25" s="20" t="str"/>
      <x:c r="K25" s="20" t="str"/>
      <x:c r="L25" s="20" t="str"/>
      <x:c r="M25" s="19" t="str">
        <x:v>PENDING</x:v>
      </x:c>
      <x:c r="N25" s="19" t="str"/>
      <x:c r="O25" s="19" t="str"/>
      <x:c r="P25" s="19" t="str"/>
      <x:c r="Q25" s="19" t="str">
        <x:v>PENDING</x:v>
      </x:c>
      <x:c r="R25" s="19" t="str">
        <x:v>PENDING</x:v>
      </x:c>
      <x:c r="S25" s="19" t="str">
        <x:v>PENDING</x:v>
      </x:c>
      <x:c r="T25" s="19" t="str">
        <x:f>IF(AND(E25&lt;&gt;"",F25&lt;&gt;"",G25&lt;&gt;"",H25&lt;&gt;"",I25&lt;&gt;"",K25&lt;&gt;"",L25&lt;&gt;"",M25="REACHABLE",N25&lt;&gt;"",O25&lt;&gt;"",Q25="PASS",R25="PASS",S25="PASS"),"READY","PENDING")</x:f>
        <x:v>PENDING</x:v>
      </x:c>
      <x:c r="U25" s="19" t="str"/>
    </x:row>
    <x:row r="26">
      <x:c r="A26" s="17" t="str">
        <x:v>HO-AI-REPLIT-AGENT-05</x:v>
      </x:c>
      <x:c r="B26" s="17" t="str">
        <x:v>AI</x:v>
      </x:c>
      <x:c r="C26" s="17" t="str">
        <x:v>AI_REPLIT_AGENT</x:v>
      </x:c>
      <x:c r="D26" s="17" t="str">
        <x:v>Replit Agent</x:v>
      </x:c>
      <x:c r="E26" s="19" t="str"/>
      <x:c r="F26" s="19" t="str"/>
      <x:c r="G26" s="19" t="str"/>
      <x:c r="H26" s="19" t="str"/>
      <x:c r="I26" s="19" t="str"/>
      <x:c r="J26" s="20" t="str"/>
      <x:c r="K26" s="20" t="str"/>
      <x:c r="L26" s="20" t="str"/>
      <x:c r="M26" s="19" t="str">
        <x:v>PENDING</x:v>
      </x:c>
      <x:c r="N26" s="19" t="str"/>
      <x:c r="O26" s="19" t="str"/>
      <x:c r="P26" s="19" t="str"/>
      <x:c r="Q26" s="19" t="str">
        <x:v>PENDING</x:v>
      </x:c>
      <x:c r="R26" s="19" t="str">
        <x:v>PENDING</x:v>
      </x:c>
      <x:c r="S26" s="19" t="str">
        <x:v>PENDING</x:v>
      </x:c>
      <x:c r="T26" s="19" t="str">
        <x:f>IF(AND(E26&lt;&gt;"",F26&lt;&gt;"",G26&lt;&gt;"",H26&lt;&gt;"",I26&lt;&gt;"",K26&lt;&gt;"",L26&lt;&gt;"",M26="REACHABLE",N26&lt;&gt;"",O26&lt;&gt;"",Q26="PASS",R26="PASS",S26="PASS"),"READY","PENDING")</x:f>
        <x:v>PENDING</x:v>
      </x:c>
      <x:c r="U26" s="19" t="str"/>
    </x:row>
    <x:row r="27">
      <x:c r="A27" s="17" t="str">
        <x:v>HO-AI-REPLIT-AGENT-06</x:v>
      </x:c>
      <x:c r="B27" s="17" t="str">
        <x:v>AI</x:v>
      </x:c>
      <x:c r="C27" s="17" t="str">
        <x:v>AI_REPLIT_AGENT</x:v>
      </x:c>
      <x:c r="D27" s="17" t="str">
        <x:v>Replit Agent</x:v>
      </x:c>
      <x:c r="E27" s="19" t="str"/>
      <x:c r="F27" s="19" t="str"/>
      <x:c r="G27" s="19" t="str"/>
      <x:c r="H27" s="19" t="str"/>
      <x:c r="I27" s="19" t="str"/>
      <x:c r="J27" s="20" t="str"/>
      <x:c r="K27" s="20" t="str"/>
      <x:c r="L27" s="20" t="str"/>
      <x:c r="M27" s="19" t="str">
        <x:v>PENDING</x:v>
      </x:c>
      <x:c r="N27" s="19" t="str"/>
      <x:c r="O27" s="19" t="str"/>
      <x:c r="P27" s="19" t="str"/>
      <x:c r="Q27" s="19" t="str">
        <x:v>PENDING</x:v>
      </x:c>
      <x:c r="R27" s="19" t="str">
        <x:v>PENDING</x:v>
      </x:c>
      <x:c r="S27" s="19" t="str">
        <x:v>PENDING</x:v>
      </x:c>
      <x:c r="T27" s="19" t="str">
        <x:f>IF(AND(E27&lt;&gt;"",F27&lt;&gt;"",G27&lt;&gt;"",H27&lt;&gt;"",I27&lt;&gt;"",K27&lt;&gt;"",L27&lt;&gt;"",M27="REACHABLE",N27&lt;&gt;"",O27&lt;&gt;"",Q27="PASS",R27="PASS",S27="PASS"),"READY","PENDING")</x:f>
        <x:v>PENDING</x:v>
      </x:c>
      <x:c r="U27" s="19" t="str"/>
    </x:row>
    <x:row r="28">
      <x:c r="A28" s="17" t="str">
        <x:v>HO-AI-REPLIT-AGENT-07</x:v>
      </x:c>
      <x:c r="B28" s="17" t="str">
        <x:v>AI</x:v>
      </x:c>
      <x:c r="C28" s="17" t="str">
        <x:v>AI_REPLIT_AGENT</x:v>
      </x:c>
      <x:c r="D28" s="17" t="str">
        <x:v>Replit Agent</x:v>
      </x:c>
      <x:c r="E28" s="19" t="str"/>
      <x:c r="F28" s="19" t="str"/>
      <x:c r="G28" s="19" t="str"/>
      <x:c r="H28" s="19" t="str"/>
      <x:c r="I28" s="19" t="str"/>
      <x:c r="J28" s="20" t="str"/>
      <x:c r="K28" s="20" t="str"/>
      <x:c r="L28" s="20" t="str"/>
      <x:c r="M28" s="19" t="str">
        <x:v>PENDING</x:v>
      </x:c>
      <x:c r="N28" s="19" t="str"/>
      <x:c r="O28" s="19" t="str"/>
      <x:c r="P28" s="19" t="str"/>
      <x:c r="Q28" s="19" t="str">
        <x:v>PENDING</x:v>
      </x:c>
      <x:c r="R28" s="19" t="str">
        <x:v>PENDING</x:v>
      </x:c>
      <x:c r="S28" s="19" t="str">
        <x:v>PENDING</x:v>
      </x:c>
      <x:c r="T28" s="19" t="str">
        <x:f>IF(AND(E28&lt;&gt;"",F28&lt;&gt;"",G28&lt;&gt;"",H28&lt;&gt;"",I28&lt;&gt;"",K28&lt;&gt;"",L28&lt;&gt;"",M28="REACHABLE",N28&lt;&gt;"",O28&lt;&gt;"",Q28="PASS",R28="PASS",S28="PASS"),"READY","PENDING")</x:f>
        <x:v>PENDING</x:v>
      </x:c>
      <x:c r="U28" s="19" t="str"/>
    </x:row>
    <x:row r="29">
      <x:c r="A29" s="17" t="str">
        <x:v>HO-AI-REPLIT-AGENT-08</x:v>
      </x:c>
      <x:c r="B29" s="17" t="str">
        <x:v>AI</x:v>
      </x:c>
      <x:c r="C29" s="17" t="str">
        <x:v>AI_REPLIT_AGENT</x:v>
      </x:c>
      <x:c r="D29" s="17" t="str">
        <x:v>Replit Agent</x:v>
      </x:c>
      <x:c r="E29" s="19" t="str"/>
      <x:c r="F29" s="19" t="str"/>
      <x:c r="G29" s="19" t="str"/>
      <x:c r="H29" s="19" t="str"/>
      <x:c r="I29" s="19" t="str"/>
      <x:c r="J29" s="20" t="str"/>
      <x:c r="K29" s="20" t="str"/>
      <x:c r="L29" s="20" t="str"/>
      <x:c r="M29" s="19" t="str">
        <x:v>PENDING</x:v>
      </x:c>
      <x:c r="N29" s="19" t="str"/>
      <x:c r="O29" s="19" t="str"/>
      <x:c r="P29" s="19" t="str"/>
      <x:c r="Q29" s="19" t="str">
        <x:v>PENDING</x:v>
      </x:c>
      <x:c r="R29" s="19" t="str">
        <x:v>PENDING</x:v>
      </x:c>
      <x:c r="S29" s="19" t="str">
        <x:v>PENDING</x:v>
      </x:c>
      <x:c r="T29" s="19" t="str">
        <x:f>IF(AND(E29&lt;&gt;"",F29&lt;&gt;"",G29&lt;&gt;"",H29&lt;&gt;"",I29&lt;&gt;"",K29&lt;&gt;"",L29&lt;&gt;"",M29="REACHABLE",N29&lt;&gt;"",O29&lt;&gt;"",Q29="PASS",R29="PASS",S29="PASS"),"READY","PENDING")</x:f>
        <x:v>PENDING</x:v>
      </x:c>
      <x:c r="U29" s="19" t="str"/>
    </x:row>
    <x:row r="30">
      <x:c r="A30" s="17" t="str">
        <x:v>HO-AI-REPLIT-AGENT-09</x:v>
      </x:c>
      <x:c r="B30" s="17" t="str">
        <x:v>AI</x:v>
      </x:c>
      <x:c r="C30" s="17" t="str">
        <x:v>AI_REPLIT_AGENT</x:v>
      </x:c>
      <x:c r="D30" s="17" t="str">
        <x:v>Replit Agent</x:v>
      </x:c>
      <x:c r="E30" s="19" t="str"/>
      <x:c r="F30" s="19" t="str"/>
      <x:c r="G30" s="19" t="str"/>
      <x:c r="H30" s="19" t="str"/>
      <x:c r="I30" s="19" t="str"/>
      <x:c r="J30" s="20" t="str"/>
      <x:c r="K30" s="20" t="str"/>
      <x:c r="L30" s="20" t="str"/>
      <x:c r="M30" s="19" t="str">
        <x:v>PENDING</x:v>
      </x:c>
      <x:c r="N30" s="19" t="str"/>
      <x:c r="O30" s="19" t="str"/>
      <x:c r="P30" s="19" t="str"/>
      <x:c r="Q30" s="19" t="str">
        <x:v>PENDING</x:v>
      </x:c>
      <x:c r="R30" s="19" t="str">
        <x:v>PENDING</x:v>
      </x:c>
      <x:c r="S30" s="19" t="str">
        <x:v>PENDING</x:v>
      </x:c>
      <x:c r="T30" s="19" t="str">
        <x:f>IF(AND(E30&lt;&gt;"",F30&lt;&gt;"",G30&lt;&gt;"",H30&lt;&gt;"",I30&lt;&gt;"",K30&lt;&gt;"",L30&lt;&gt;"",M30="REACHABLE",N30&lt;&gt;"",O30&lt;&gt;"",Q30="PASS",R30="PASS",S30="PASS"),"READY","PENDING")</x:f>
        <x:v>PENDING</x:v>
      </x:c>
      <x:c r="U30" s="19" t="str"/>
    </x:row>
    <x:row r="31">
      <x:c r="A31" s="17" t="str">
        <x:v>HO-AI-REPLIT-AGENT-10</x:v>
      </x:c>
      <x:c r="B31" s="17" t="str">
        <x:v>AI</x:v>
      </x:c>
      <x:c r="C31" s="17" t="str">
        <x:v>AI_REPLIT_AGENT</x:v>
      </x:c>
      <x:c r="D31" s="17" t="str">
        <x:v>Replit Agent</x:v>
      </x:c>
      <x:c r="E31" s="19" t="str"/>
      <x:c r="F31" s="19" t="str"/>
      <x:c r="G31" s="19" t="str"/>
      <x:c r="H31" s="19" t="str"/>
      <x:c r="I31" s="19" t="str"/>
      <x:c r="J31" s="20" t="str"/>
      <x:c r="K31" s="20" t="str"/>
      <x:c r="L31" s="20" t="str"/>
      <x:c r="M31" s="19" t="str">
        <x:v>PENDING</x:v>
      </x:c>
      <x:c r="N31" s="19" t="str"/>
      <x:c r="O31" s="19" t="str"/>
      <x:c r="P31" s="19" t="str"/>
      <x:c r="Q31" s="19" t="str">
        <x:v>PENDING</x:v>
      </x:c>
      <x:c r="R31" s="19" t="str">
        <x:v>PENDING</x:v>
      </x:c>
      <x:c r="S31" s="19" t="str">
        <x:v>PENDING</x:v>
      </x:c>
      <x:c r="T31" s="19" t="str">
        <x:f>IF(AND(E31&lt;&gt;"",F31&lt;&gt;"",G31&lt;&gt;"",H31&lt;&gt;"",I31&lt;&gt;"",K31&lt;&gt;"",L31&lt;&gt;"",M31="REACHABLE",N31&lt;&gt;"",O31&lt;&gt;"",Q31="PASS",R31="PASS",S31="PASS"),"READY","PENDING")</x:f>
        <x:v>PENDING</x:v>
      </x:c>
      <x:c r="U31" s="19" t="str"/>
    </x:row>
    <x:row r="32">
      <x:c r="A32" s="17" t="str">
        <x:v>HO-AI-V0-01</x:v>
      </x:c>
      <x:c r="B32" s="17" t="str">
        <x:v>AI</x:v>
      </x:c>
      <x:c r="C32" s="17" t="str">
        <x:v>AI_V0</x:v>
      </x:c>
      <x:c r="D32" s="17" t="str">
        <x:v>v0</x:v>
      </x:c>
      <x:c r="E32" s="19" t="str"/>
      <x:c r="F32" s="19" t="str"/>
      <x:c r="G32" s="19" t="str"/>
      <x:c r="H32" s="19" t="str"/>
      <x:c r="I32" s="19" t="str"/>
      <x:c r="J32" s="20" t="str"/>
      <x:c r="K32" s="20" t="str"/>
      <x:c r="L32" s="20" t="str"/>
      <x:c r="M32" s="19" t="str">
        <x:v>PENDING</x:v>
      </x:c>
      <x:c r="N32" s="19" t="str"/>
      <x:c r="O32" s="19" t="str"/>
      <x:c r="P32" s="19" t="str"/>
      <x:c r="Q32" s="19" t="str">
        <x:v>PENDING</x:v>
      </x:c>
      <x:c r="R32" s="19" t="str">
        <x:v>PENDING</x:v>
      </x:c>
      <x:c r="S32" s="19" t="str">
        <x:v>PENDING</x:v>
      </x:c>
      <x:c r="T32" s="19" t="str">
        <x:f>IF(AND(E32&lt;&gt;"",F32&lt;&gt;"",G32&lt;&gt;"",H32&lt;&gt;"",I32&lt;&gt;"",K32&lt;&gt;"",L32&lt;&gt;"",M32="REACHABLE",N32&lt;&gt;"",O32&lt;&gt;"",Q32="PASS",R32="PASS",S32="PASS"),"READY","PENDING")</x:f>
        <x:v>PENDING</x:v>
      </x:c>
      <x:c r="U32" s="19" t="str"/>
    </x:row>
    <x:row r="33">
      <x:c r="A33" s="17" t="str">
        <x:v>HO-AI-V0-02</x:v>
      </x:c>
      <x:c r="B33" s="17" t="str">
        <x:v>AI</x:v>
      </x:c>
      <x:c r="C33" s="17" t="str">
        <x:v>AI_V0</x:v>
      </x:c>
      <x:c r="D33" s="17" t="str">
        <x:v>v0</x:v>
      </x:c>
      <x:c r="E33" s="19" t="str"/>
      <x:c r="F33" s="19" t="str"/>
      <x:c r="G33" s="19" t="str"/>
      <x:c r="H33" s="19" t="str"/>
      <x:c r="I33" s="19" t="str"/>
      <x:c r="J33" s="20" t="str"/>
      <x:c r="K33" s="20" t="str"/>
      <x:c r="L33" s="20" t="str"/>
      <x:c r="M33" s="19" t="str">
        <x:v>PENDING</x:v>
      </x:c>
      <x:c r="N33" s="19" t="str"/>
      <x:c r="O33" s="19" t="str"/>
      <x:c r="P33" s="19" t="str"/>
      <x:c r="Q33" s="19" t="str">
        <x:v>PENDING</x:v>
      </x:c>
      <x:c r="R33" s="19" t="str">
        <x:v>PENDING</x:v>
      </x:c>
      <x:c r="S33" s="19" t="str">
        <x:v>PENDING</x:v>
      </x:c>
      <x:c r="T33" s="19" t="str">
        <x:f>IF(AND(E33&lt;&gt;"",F33&lt;&gt;"",G33&lt;&gt;"",H33&lt;&gt;"",I33&lt;&gt;"",K33&lt;&gt;"",L33&lt;&gt;"",M33="REACHABLE",N33&lt;&gt;"",O33&lt;&gt;"",Q33="PASS",R33="PASS",S33="PASS"),"READY","PENDING")</x:f>
        <x:v>PENDING</x:v>
      </x:c>
      <x:c r="U33" s="19" t="str"/>
    </x:row>
    <x:row r="34">
      <x:c r="A34" s="17" t="str">
        <x:v>HO-AI-V0-03</x:v>
      </x:c>
      <x:c r="B34" s="17" t="str">
        <x:v>AI</x:v>
      </x:c>
      <x:c r="C34" s="17" t="str">
        <x:v>AI_V0</x:v>
      </x:c>
      <x:c r="D34" s="17" t="str">
        <x:v>v0</x:v>
      </x:c>
      <x:c r="E34" s="19" t="str"/>
      <x:c r="F34" s="19" t="str"/>
      <x:c r="G34" s="19" t="str"/>
      <x:c r="H34" s="19" t="str"/>
      <x:c r="I34" s="19" t="str"/>
      <x:c r="J34" s="20" t="str"/>
      <x:c r="K34" s="20" t="str"/>
      <x:c r="L34" s="20" t="str"/>
      <x:c r="M34" s="19" t="str">
        <x:v>PENDING</x:v>
      </x:c>
      <x:c r="N34" s="19" t="str"/>
      <x:c r="O34" s="19" t="str"/>
      <x:c r="P34" s="19" t="str"/>
      <x:c r="Q34" s="19" t="str">
        <x:v>PENDING</x:v>
      </x:c>
      <x:c r="R34" s="19" t="str">
        <x:v>PENDING</x:v>
      </x:c>
      <x:c r="S34" s="19" t="str">
        <x:v>PENDING</x:v>
      </x:c>
      <x:c r="T34" s="19" t="str">
        <x:f>IF(AND(E34&lt;&gt;"",F34&lt;&gt;"",G34&lt;&gt;"",H34&lt;&gt;"",I34&lt;&gt;"",K34&lt;&gt;"",L34&lt;&gt;"",M34="REACHABLE",N34&lt;&gt;"",O34&lt;&gt;"",Q34="PASS",R34="PASS",S34="PASS"),"READY","PENDING")</x:f>
        <x:v>PENDING</x:v>
      </x:c>
      <x:c r="U34" s="19" t="str"/>
    </x:row>
    <x:row r="35">
      <x:c r="A35" s="17" t="str">
        <x:v>HO-AI-V0-04</x:v>
      </x:c>
      <x:c r="B35" s="17" t="str">
        <x:v>AI</x:v>
      </x:c>
      <x:c r="C35" s="17" t="str">
        <x:v>AI_V0</x:v>
      </x:c>
      <x:c r="D35" s="17" t="str">
        <x:v>v0</x:v>
      </x:c>
      <x:c r="E35" s="19" t="str"/>
      <x:c r="F35" s="19" t="str"/>
      <x:c r="G35" s="19" t="str"/>
      <x:c r="H35" s="19" t="str"/>
      <x:c r="I35" s="19" t="str"/>
      <x:c r="J35" s="20" t="str"/>
      <x:c r="K35" s="20" t="str"/>
      <x:c r="L35" s="20" t="str"/>
      <x:c r="M35" s="19" t="str">
        <x:v>PENDING</x:v>
      </x:c>
      <x:c r="N35" s="19" t="str"/>
      <x:c r="O35" s="19" t="str"/>
      <x:c r="P35" s="19" t="str"/>
      <x:c r="Q35" s="19" t="str">
        <x:v>PENDING</x:v>
      </x:c>
      <x:c r="R35" s="19" t="str">
        <x:v>PENDING</x:v>
      </x:c>
      <x:c r="S35" s="19" t="str">
        <x:v>PENDING</x:v>
      </x:c>
      <x:c r="T35" s="19" t="str">
        <x:f>IF(AND(E35&lt;&gt;"",F35&lt;&gt;"",G35&lt;&gt;"",H35&lt;&gt;"",I35&lt;&gt;"",K35&lt;&gt;"",L35&lt;&gt;"",M35="REACHABLE",N35&lt;&gt;"",O35&lt;&gt;"",Q35="PASS",R35="PASS",S35="PASS"),"READY","PENDING")</x:f>
        <x:v>PENDING</x:v>
      </x:c>
      <x:c r="U35" s="19" t="str"/>
    </x:row>
    <x:row r="36">
      <x:c r="A36" s="17" t="str">
        <x:v>HO-AI-V0-05</x:v>
      </x:c>
      <x:c r="B36" s="17" t="str">
        <x:v>AI</x:v>
      </x:c>
      <x:c r="C36" s="17" t="str">
        <x:v>AI_V0</x:v>
      </x:c>
      <x:c r="D36" s="17" t="str">
        <x:v>v0</x:v>
      </x:c>
      <x:c r="E36" s="19" t="str"/>
      <x:c r="F36" s="19" t="str"/>
      <x:c r="G36" s="19" t="str"/>
      <x:c r="H36" s="19" t="str"/>
      <x:c r="I36" s="19" t="str"/>
      <x:c r="J36" s="20" t="str"/>
      <x:c r="K36" s="20" t="str"/>
      <x:c r="L36" s="20" t="str"/>
      <x:c r="M36" s="19" t="str">
        <x:v>PENDING</x:v>
      </x:c>
      <x:c r="N36" s="19" t="str"/>
      <x:c r="O36" s="19" t="str"/>
      <x:c r="P36" s="19" t="str"/>
      <x:c r="Q36" s="19" t="str">
        <x:v>PENDING</x:v>
      </x:c>
      <x:c r="R36" s="19" t="str">
        <x:v>PENDING</x:v>
      </x:c>
      <x:c r="S36" s="19" t="str">
        <x:v>PENDING</x:v>
      </x:c>
      <x:c r="T36" s="19" t="str">
        <x:f>IF(AND(E36&lt;&gt;"",F36&lt;&gt;"",G36&lt;&gt;"",H36&lt;&gt;"",I36&lt;&gt;"",K36&lt;&gt;"",L36&lt;&gt;"",M36="REACHABLE",N36&lt;&gt;"",O36&lt;&gt;"",Q36="PASS",R36="PASS",S36="PASS"),"READY","PENDING")</x:f>
        <x:v>PENDING</x:v>
      </x:c>
      <x:c r="U36" s="19" t="str"/>
    </x:row>
    <x:row r="37">
      <x:c r="A37" s="17" t="str">
        <x:v>HO-AI-V0-06</x:v>
      </x:c>
      <x:c r="B37" s="17" t="str">
        <x:v>AI</x:v>
      </x:c>
      <x:c r="C37" s="17" t="str">
        <x:v>AI_V0</x:v>
      </x:c>
      <x:c r="D37" s="17" t="str">
        <x:v>v0</x:v>
      </x:c>
      <x:c r="E37" s="19" t="str"/>
      <x:c r="F37" s="19" t="str"/>
      <x:c r="G37" s="19" t="str"/>
      <x:c r="H37" s="19" t="str"/>
      <x:c r="I37" s="19" t="str"/>
      <x:c r="J37" s="20" t="str"/>
      <x:c r="K37" s="20" t="str"/>
      <x:c r="L37" s="20" t="str"/>
      <x:c r="M37" s="19" t="str">
        <x:v>PENDING</x:v>
      </x:c>
      <x:c r="N37" s="19" t="str"/>
      <x:c r="O37" s="19" t="str"/>
      <x:c r="P37" s="19" t="str"/>
      <x:c r="Q37" s="19" t="str">
        <x:v>PENDING</x:v>
      </x:c>
      <x:c r="R37" s="19" t="str">
        <x:v>PENDING</x:v>
      </x:c>
      <x:c r="S37" s="19" t="str">
        <x:v>PENDING</x:v>
      </x:c>
      <x:c r="T37" s="19" t="str">
        <x:f>IF(AND(E37&lt;&gt;"",F37&lt;&gt;"",G37&lt;&gt;"",H37&lt;&gt;"",I37&lt;&gt;"",K37&lt;&gt;"",L37&lt;&gt;"",M37="REACHABLE",N37&lt;&gt;"",O37&lt;&gt;"",Q37="PASS",R37="PASS",S37="PASS"),"READY","PENDING")</x:f>
        <x:v>PENDING</x:v>
      </x:c>
      <x:c r="U37" s="19" t="str"/>
    </x:row>
    <x:row r="38">
      <x:c r="A38" s="17" t="str">
        <x:v>HO-AI-V0-07</x:v>
      </x:c>
      <x:c r="B38" s="17" t="str">
        <x:v>AI</x:v>
      </x:c>
      <x:c r="C38" s="17" t="str">
        <x:v>AI_V0</x:v>
      </x:c>
      <x:c r="D38" s="17" t="str">
        <x:v>v0</x:v>
      </x:c>
      <x:c r="E38" s="19" t="str"/>
      <x:c r="F38" s="19" t="str"/>
      <x:c r="G38" s="19" t="str"/>
      <x:c r="H38" s="19" t="str"/>
      <x:c r="I38" s="19" t="str"/>
      <x:c r="J38" s="20" t="str"/>
      <x:c r="K38" s="20" t="str"/>
      <x:c r="L38" s="20" t="str"/>
      <x:c r="M38" s="19" t="str">
        <x:v>PENDING</x:v>
      </x:c>
      <x:c r="N38" s="19" t="str"/>
      <x:c r="O38" s="19" t="str"/>
      <x:c r="P38" s="19" t="str"/>
      <x:c r="Q38" s="19" t="str">
        <x:v>PENDING</x:v>
      </x:c>
      <x:c r="R38" s="19" t="str">
        <x:v>PENDING</x:v>
      </x:c>
      <x:c r="S38" s="19" t="str">
        <x:v>PENDING</x:v>
      </x:c>
      <x:c r="T38" s="19" t="str">
        <x:f>IF(AND(E38&lt;&gt;"",F38&lt;&gt;"",G38&lt;&gt;"",H38&lt;&gt;"",I38&lt;&gt;"",K38&lt;&gt;"",L38&lt;&gt;"",M38="REACHABLE",N38&lt;&gt;"",O38&lt;&gt;"",Q38="PASS",R38="PASS",S38="PASS"),"READY","PENDING")</x:f>
        <x:v>PENDING</x:v>
      </x:c>
      <x:c r="U38" s="19" t="str"/>
    </x:row>
    <x:row r="39">
      <x:c r="A39" s="17" t="str">
        <x:v>HO-AI-V0-08</x:v>
      </x:c>
      <x:c r="B39" s="17" t="str">
        <x:v>AI</x:v>
      </x:c>
      <x:c r="C39" s="17" t="str">
        <x:v>AI_V0</x:v>
      </x:c>
      <x:c r="D39" s="17" t="str">
        <x:v>v0</x:v>
      </x:c>
      <x:c r="E39" s="19" t="str"/>
      <x:c r="F39" s="19" t="str"/>
      <x:c r="G39" s="19" t="str"/>
      <x:c r="H39" s="19" t="str"/>
      <x:c r="I39" s="19" t="str"/>
      <x:c r="J39" s="20" t="str"/>
      <x:c r="K39" s="20" t="str"/>
      <x:c r="L39" s="20" t="str"/>
      <x:c r="M39" s="19" t="str">
        <x:v>PENDING</x:v>
      </x:c>
      <x:c r="N39" s="19" t="str"/>
      <x:c r="O39" s="19" t="str"/>
      <x:c r="P39" s="19" t="str"/>
      <x:c r="Q39" s="19" t="str">
        <x:v>PENDING</x:v>
      </x:c>
      <x:c r="R39" s="19" t="str">
        <x:v>PENDING</x:v>
      </x:c>
      <x:c r="S39" s="19" t="str">
        <x:v>PENDING</x:v>
      </x:c>
      <x:c r="T39" s="19" t="str">
        <x:f>IF(AND(E39&lt;&gt;"",F39&lt;&gt;"",G39&lt;&gt;"",H39&lt;&gt;"",I39&lt;&gt;"",K39&lt;&gt;"",L39&lt;&gt;"",M39="REACHABLE",N39&lt;&gt;"",O39&lt;&gt;"",Q39="PASS",R39="PASS",S39="PASS"),"READY","PENDING")</x:f>
        <x:v>PENDING</x:v>
      </x:c>
      <x:c r="U39" s="19" t="str"/>
    </x:row>
    <x:row r="40">
      <x:c r="A40" s="17" t="str">
        <x:v>HO-AI-V0-09</x:v>
      </x:c>
      <x:c r="B40" s="17" t="str">
        <x:v>AI</x:v>
      </x:c>
      <x:c r="C40" s="17" t="str">
        <x:v>AI_V0</x:v>
      </x:c>
      <x:c r="D40" s="17" t="str">
        <x:v>v0</x:v>
      </x:c>
      <x:c r="E40" s="19" t="str"/>
      <x:c r="F40" s="19" t="str"/>
      <x:c r="G40" s="19" t="str"/>
      <x:c r="H40" s="19" t="str"/>
      <x:c r="I40" s="19" t="str"/>
      <x:c r="J40" s="20" t="str"/>
      <x:c r="K40" s="20" t="str"/>
      <x:c r="L40" s="20" t="str"/>
      <x:c r="M40" s="19" t="str">
        <x:v>PENDING</x:v>
      </x:c>
      <x:c r="N40" s="19" t="str"/>
      <x:c r="O40" s="19" t="str"/>
      <x:c r="P40" s="19" t="str"/>
      <x:c r="Q40" s="19" t="str">
        <x:v>PENDING</x:v>
      </x:c>
      <x:c r="R40" s="19" t="str">
        <x:v>PENDING</x:v>
      </x:c>
      <x:c r="S40" s="19" t="str">
        <x:v>PENDING</x:v>
      </x:c>
      <x:c r="T40" s="19" t="str">
        <x:f>IF(AND(E40&lt;&gt;"",F40&lt;&gt;"",G40&lt;&gt;"",H40&lt;&gt;"",I40&lt;&gt;"",K40&lt;&gt;"",L40&lt;&gt;"",M40="REACHABLE",N40&lt;&gt;"",O40&lt;&gt;"",Q40="PASS",R40="PASS",S40="PASS"),"READY","PENDING")</x:f>
        <x:v>PENDING</x:v>
      </x:c>
      <x:c r="U40" s="19" t="str"/>
    </x:row>
    <x:row r="41">
      <x:c r="A41" s="17" t="str">
        <x:v>HO-AI-V0-10</x:v>
      </x:c>
      <x:c r="B41" s="17" t="str">
        <x:v>AI</x:v>
      </x:c>
      <x:c r="C41" s="17" t="str">
        <x:v>AI_V0</x:v>
      </x:c>
      <x:c r="D41" s="17" t="str">
        <x:v>v0</x:v>
      </x:c>
      <x:c r="E41" s="19" t="str"/>
      <x:c r="F41" s="19" t="str"/>
      <x:c r="G41" s="19" t="str"/>
      <x:c r="H41" s="19" t="str"/>
      <x:c r="I41" s="19" t="str"/>
      <x:c r="J41" s="20" t="str"/>
      <x:c r="K41" s="20" t="str"/>
      <x:c r="L41" s="20" t="str"/>
      <x:c r="M41" s="19" t="str">
        <x:v>PENDING</x:v>
      </x:c>
      <x:c r="N41" s="19" t="str"/>
      <x:c r="O41" s="19" t="str"/>
      <x:c r="P41" s="19" t="str"/>
      <x:c r="Q41" s="19" t="str">
        <x:v>PENDING</x:v>
      </x:c>
      <x:c r="R41" s="19" t="str">
        <x:v>PENDING</x:v>
      </x:c>
      <x:c r="S41" s="19" t="str">
        <x:v>PENDING</x:v>
      </x:c>
      <x:c r="T41" s="19" t="str">
        <x:f>IF(AND(E41&lt;&gt;"",F41&lt;&gt;"",G41&lt;&gt;"",H41&lt;&gt;"",I41&lt;&gt;"",K41&lt;&gt;"",L41&lt;&gt;"",M41="REACHABLE",N41&lt;&gt;"",O41&lt;&gt;"",Q41="PASS",R41="PASS",S41="PASS"),"READY","PENDING")</x:f>
        <x:v>PENDING</x:v>
      </x:c>
      <x:c r="U41" s="19" t="str"/>
    </x:row>
    <x:row r="42">
      <x:c r="A42" s="17" t="str">
        <x:v>HO-AI-OTHER-AGENTIC-01</x:v>
      </x:c>
      <x:c r="B42" s="17" t="str">
        <x:v>AI</x:v>
      </x:c>
      <x:c r="C42" s="17" t="str">
        <x:v>AI_OTHER_AGENTIC</x:v>
      </x:c>
      <x:c r="D42" s="17" t="str">
        <x:v>Other agentic/custom</x:v>
      </x:c>
      <x:c r="E42" s="19" t="str"/>
      <x:c r="F42" s="19" t="str"/>
      <x:c r="G42" s="19" t="str"/>
      <x:c r="H42" s="19" t="str"/>
      <x:c r="I42" s="19" t="str"/>
      <x:c r="J42" s="20" t="str"/>
      <x:c r="K42" s="20" t="str"/>
      <x:c r="L42" s="20" t="str"/>
      <x:c r="M42" s="19" t="str">
        <x:v>PENDING</x:v>
      </x:c>
      <x:c r="N42" s="19" t="str"/>
      <x:c r="O42" s="19" t="str"/>
      <x:c r="P42" s="19" t="str"/>
      <x:c r="Q42" s="19" t="str">
        <x:v>PENDING</x:v>
      </x:c>
      <x:c r="R42" s="19" t="str">
        <x:v>PENDING</x:v>
      </x:c>
      <x:c r="S42" s="19" t="str">
        <x:v>PENDING</x:v>
      </x:c>
      <x:c r="T42" s="19" t="str">
        <x:f>IF(AND(E42&lt;&gt;"",F42&lt;&gt;"",G42&lt;&gt;"",H42&lt;&gt;"",I42&lt;&gt;"",K42&lt;&gt;"",L42&lt;&gt;"",M42="REACHABLE",N42&lt;&gt;"",O42&lt;&gt;"",Q42="PASS",R42="PASS",S42="PASS"),"READY","PENDING")</x:f>
        <x:v>PENDING</x:v>
      </x:c>
      <x:c r="U42" s="19" t="str"/>
    </x:row>
    <x:row r="43">
      <x:c r="A43" s="17" t="str">
        <x:v>HO-AI-OTHER-AGENTIC-02</x:v>
      </x:c>
      <x:c r="B43" s="17" t="str">
        <x:v>AI</x:v>
      </x:c>
      <x:c r="C43" s="17" t="str">
        <x:v>AI_OTHER_AGENTIC</x:v>
      </x:c>
      <x:c r="D43" s="17" t="str">
        <x:v>Other agentic/custom</x:v>
      </x:c>
      <x:c r="E43" s="19" t="str"/>
      <x:c r="F43" s="19" t="str"/>
      <x:c r="G43" s="19" t="str"/>
      <x:c r="H43" s="19" t="str"/>
      <x:c r="I43" s="19" t="str"/>
      <x:c r="J43" s="20" t="str"/>
      <x:c r="K43" s="20" t="str"/>
      <x:c r="L43" s="20" t="str"/>
      <x:c r="M43" s="19" t="str">
        <x:v>PENDING</x:v>
      </x:c>
      <x:c r="N43" s="19" t="str"/>
      <x:c r="O43" s="19" t="str"/>
      <x:c r="P43" s="19" t="str"/>
      <x:c r="Q43" s="19" t="str">
        <x:v>PENDING</x:v>
      </x:c>
      <x:c r="R43" s="19" t="str">
        <x:v>PENDING</x:v>
      </x:c>
      <x:c r="S43" s="19" t="str">
        <x:v>PENDING</x:v>
      </x:c>
      <x:c r="T43" s="19" t="str">
        <x:f>IF(AND(E43&lt;&gt;"",F43&lt;&gt;"",G43&lt;&gt;"",H43&lt;&gt;"",I43&lt;&gt;"",K43&lt;&gt;"",L43&lt;&gt;"",M43="REACHABLE",N43&lt;&gt;"",O43&lt;&gt;"",Q43="PASS",R43="PASS",S43="PASS"),"READY","PENDING")</x:f>
        <x:v>PENDING</x:v>
      </x:c>
      <x:c r="U43" s="19" t="str"/>
    </x:row>
    <x:row r="44">
      <x:c r="A44" s="17" t="str">
        <x:v>HO-AI-OTHER-AGENTIC-03</x:v>
      </x:c>
      <x:c r="B44" s="17" t="str">
        <x:v>AI</x:v>
      </x:c>
      <x:c r="C44" s="17" t="str">
        <x:v>AI_OTHER_AGENTIC</x:v>
      </x:c>
      <x:c r="D44" s="17" t="str">
        <x:v>Other agentic/custom</x:v>
      </x:c>
      <x:c r="E44" s="19" t="str"/>
      <x:c r="F44" s="19" t="str"/>
      <x:c r="G44" s="19" t="str"/>
      <x:c r="H44" s="19" t="str"/>
      <x:c r="I44" s="19" t="str"/>
      <x:c r="J44" s="20" t="str"/>
      <x:c r="K44" s="20" t="str"/>
      <x:c r="L44" s="20" t="str"/>
      <x:c r="M44" s="19" t="str">
        <x:v>PENDING</x:v>
      </x:c>
      <x:c r="N44" s="19" t="str"/>
      <x:c r="O44" s="19" t="str"/>
      <x:c r="P44" s="19" t="str"/>
      <x:c r="Q44" s="19" t="str">
        <x:v>PENDING</x:v>
      </x:c>
      <x:c r="R44" s="19" t="str">
        <x:v>PENDING</x:v>
      </x:c>
      <x:c r="S44" s="19" t="str">
        <x:v>PENDING</x:v>
      </x:c>
      <x:c r="T44" s="19" t="str">
        <x:f>IF(AND(E44&lt;&gt;"",F44&lt;&gt;"",G44&lt;&gt;"",H44&lt;&gt;"",I44&lt;&gt;"",K44&lt;&gt;"",L44&lt;&gt;"",M44="REACHABLE",N44&lt;&gt;"",O44&lt;&gt;"",Q44="PASS",R44="PASS",S44="PASS"),"READY","PENDING")</x:f>
        <x:v>PENDING</x:v>
      </x:c>
      <x:c r="U44" s="19" t="str"/>
    </x:row>
    <x:row r="45">
      <x:c r="A45" s="17" t="str">
        <x:v>HO-AI-OTHER-AGENTIC-04</x:v>
      </x:c>
      <x:c r="B45" s="17" t="str">
        <x:v>AI</x:v>
      </x:c>
      <x:c r="C45" s="17" t="str">
        <x:v>AI_OTHER_AGENTIC</x:v>
      </x:c>
      <x:c r="D45" s="17" t="str">
        <x:v>Other agentic/custom</x:v>
      </x:c>
      <x:c r="E45" s="19" t="str"/>
      <x:c r="F45" s="19" t="str"/>
      <x:c r="G45" s="19" t="str"/>
      <x:c r="H45" s="19" t="str"/>
      <x:c r="I45" s="19" t="str"/>
      <x:c r="J45" s="20" t="str"/>
      <x:c r="K45" s="20" t="str"/>
      <x:c r="L45" s="20" t="str"/>
      <x:c r="M45" s="19" t="str">
        <x:v>PENDING</x:v>
      </x:c>
      <x:c r="N45" s="19" t="str"/>
      <x:c r="O45" s="19" t="str"/>
      <x:c r="P45" s="19" t="str"/>
      <x:c r="Q45" s="19" t="str">
        <x:v>PENDING</x:v>
      </x:c>
      <x:c r="R45" s="19" t="str">
        <x:v>PENDING</x:v>
      </x:c>
      <x:c r="S45" s="19" t="str">
        <x:v>PENDING</x:v>
      </x:c>
      <x:c r="T45" s="19" t="str">
        <x:f>IF(AND(E45&lt;&gt;"",F45&lt;&gt;"",G45&lt;&gt;"",H45&lt;&gt;"",I45&lt;&gt;"",K45&lt;&gt;"",L45&lt;&gt;"",M45="REACHABLE",N45&lt;&gt;"",O45&lt;&gt;"",Q45="PASS",R45="PASS",S45="PASS"),"READY","PENDING")</x:f>
        <x:v>PENDING</x:v>
      </x:c>
      <x:c r="U45" s="19" t="str"/>
    </x:row>
    <x:row r="46">
      <x:c r="A46" s="17" t="str">
        <x:v>HO-AI-OTHER-AGENTIC-05</x:v>
      </x:c>
      <x:c r="B46" s="17" t="str">
        <x:v>AI</x:v>
      </x:c>
      <x:c r="C46" s="17" t="str">
        <x:v>AI_OTHER_AGENTIC</x:v>
      </x:c>
      <x:c r="D46" s="17" t="str">
        <x:v>Other agentic/custom</x:v>
      </x:c>
      <x:c r="E46" s="19" t="str"/>
      <x:c r="F46" s="19" t="str"/>
      <x:c r="G46" s="19" t="str"/>
      <x:c r="H46" s="19" t="str"/>
      <x:c r="I46" s="19" t="str"/>
      <x:c r="J46" s="20" t="str"/>
      <x:c r="K46" s="20" t="str"/>
      <x:c r="L46" s="20" t="str"/>
      <x:c r="M46" s="19" t="str">
        <x:v>PENDING</x:v>
      </x:c>
      <x:c r="N46" s="19" t="str"/>
      <x:c r="O46" s="19" t="str"/>
      <x:c r="P46" s="19" t="str"/>
      <x:c r="Q46" s="19" t="str">
        <x:v>PENDING</x:v>
      </x:c>
      <x:c r="R46" s="19" t="str">
        <x:v>PENDING</x:v>
      </x:c>
      <x:c r="S46" s="19" t="str">
        <x:v>PENDING</x:v>
      </x:c>
      <x:c r="T46" s="19" t="str">
        <x:f>IF(AND(E46&lt;&gt;"",F46&lt;&gt;"",G46&lt;&gt;"",H46&lt;&gt;"",I46&lt;&gt;"",K46&lt;&gt;"",L46&lt;&gt;"",M46="REACHABLE",N46&lt;&gt;"",O46&lt;&gt;"",Q46="PASS",R46="PASS",S46="PASS"),"READY","PENDING")</x:f>
        <x:v>PENDING</x:v>
      </x:c>
      <x:c r="U46" s="19" t="str"/>
    </x:row>
    <x:row r="47">
      <x:c r="A47" s="17" t="str">
        <x:v>HO-AI-OTHER-AGENTIC-06</x:v>
      </x:c>
      <x:c r="B47" s="17" t="str">
        <x:v>AI</x:v>
      </x:c>
      <x:c r="C47" s="17" t="str">
        <x:v>AI_OTHER_AGENTIC</x:v>
      </x:c>
      <x:c r="D47" s="17" t="str">
        <x:v>Other agentic/custom</x:v>
      </x:c>
      <x:c r="E47" s="19" t="str"/>
      <x:c r="F47" s="19" t="str"/>
      <x:c r="G47" s="19" t="str"/>
      <x:c r="H47" s="19" t="str"/>
      <x:c r="I47" s="19" t="str"/>
      <x:c r="J47" s="20" t="str"/>
      <x:c r="K47" s="20" t="str"/>
      <x:c r="L47" s="20" t="str"/>
      <x:c r="M47" s="19" t="str">
        <x:v>PENDING</x:v>
      </x:c>
      <x:c r="N47" s="19" t="str"/>
      <x:c r="O47" s="19" t="str"/>
      <x:c r="P47" s="19" t="str"/>
      <x:c r="Q47" s="19" t="str">
        <x:v>PENDING</x:v>
      </x:c>
      <x:c r="R47" s="19" t="str">
        <x:v>PENDING</x:v>
      </x:c>
      <x:c r="S47" s="19" t="str">
        <x:v>PENDING</x:v>
      </x:c>
      <x:c r="T47" s="19" t="str">
        <x:f>IF(AND(E47&lt;&gt;"",F47&lt;&gt;"",G47&lt;&gt;"",H47&lt;&gt;"",I47&lt;&gt;"",K47&lt;&gt;"",L47&lt;&gt;"",M47="REACHABLE",N47&lt;&gt;"",O47&lt;&gt;"",Q47="PASS",R47="PASS",S47="PASS"),"READY","PENDING")</x:f>
        <x:v>PENDING</x:v>
      </x:c>
      <x:c r="U47" s="19" t="str"/>
    </x:row>
    <x:row r="48">
      <x:c r="A48" s="17" t="str">
        <x:v>HO-AI-OTHER-AGENTIC-07</x:v>
      </x:c>
      <x:c r="B48" s="17" t="str">
        <x:v>AI</x:v>
      </x:c>
      <x:c r="C48" s="17" t="str">
        <x:v>AI_OTHER_AGENTIC</x:v>
      </x:c>
      <x:c r="D48" s="17" t="str">
        <x:v>Other agentic/custom</x:v>
      </x:c>
      <x:c r="E48" s="19" t="str"/>
      <x:c r="F48" s="19" t="str"/>
      <x:c r="G48" s="19" t="str"/>
      <x:c r="H48" s="19" t="str"/>
      <x:c r="I48" s="19" t="str"/>
      <x:c r="J48" s="20" t="str"/>
      <x:c r="K48" s="20" t="str"/>
      <x:c r="L48" s="20" t="str"/>
      <x:c r="M48" s="19" t="str">
        <x:v>PENDING</x:v>
      </x:c>
      <x:c r="N48" s="19" t="str"/>
      <x:c r="O48" s="19" t="str"/>
      <x:c r="P48" s="19" t="str"/>
      <x:c r="Q48" s="19" t="str">
        <x:v>PENDING</x:v>
      </x:c>
      <x:c r="R48" s="19" t="str">
        <x:v>PENDING</x:v>
      </x:c>
      <x:c r="S48" s="19" t="str">
        <x:v>PENDING</x:v>
      </x:c>
      <x:c r="T48" s="19" t="str">
        <x:f>IF(AND(E48&lt;&gt;"",F48&lt;&gt;"",G48&lt;&gt;"",H48&lt;&gt;"",I48&lt;&gt;"",K48&lt;&gt;"",L48&lt;&gt;"",M48="REACHABLE",N48&lt;&gt;"",O48&lt;&gt;"",Q48="PASS",R48="PASS",S48="PASS"),"READY","PENDING")</x:f>
        <x:v>PENDING</x:v>
      </x:c>
      <x:c r="U48" s="19" t="str"/>
    </x:row>
    <x:row r="49">
      <x:c r="A49" s="17" t="str">
        <x:v>HO-AI-OTHER-AGENTIC-08</x:v>
      </x:c>
      <x:c r="B49" s="17" t="str">
        <x:v>AI</x:v>
      </x:c>
      <x:c r="C49" s="17" t="str">
        <x:v>AI_OTHER_AGENTIC</x:v>
      </x:c>
      <x:c r="D49" s="17" t="str">
        <x:v>Other agentic/custom</x:v>
      </x:c>
      <x:c r="E49" s="19" t="str"/>
      <x:c r="F49" s="19" t="str"/>
      <x:c r="G49" s="19" t="str"/>
      <x:c r="H49" s="19" t="str"/>
      <x:c r="I49" s="19" t="str"/>
      <x:c r="J49" s="20" t="str"/>
      <x:c r="K49" s="20" t="str"/>
      <x:c r="L49" s="20" t="str"/>
      <x:c r="M49" s="19" t="str">
        <x:v>PENDING</x:v>
      </x:c>
      <x:c r="N49" s="19" t="str"/>
      <x:c r="O49" s="19" t="str"/>
      <x:c r="P49" s="19" t="str"/>
      <x:c r="Q49" s="19" t="str">
        <x:v>PENDING</x:v>
      </x:c>
      <x:c r="R49" s="19" t="str">
        <x:v>PENDING</x:v>
      </x:c>
      <x:c r="S49" s="19" t="str">
        <x:v>PENDING</x:v>
      </x:c>
      <x:c r="T49" s="19" t="str">
        <x:f>IF(AND(E49&lt;&gt;"",F49&lt;&gt;"",G49&lt;&gt;"",H49&lt;&gt;"",I49&lt;&gt;"",K49&lt;&gt;"",L49&lt;&gt;"",M49="REACHABLE",N49&lt;&gt;"",O49&lt;&gt;"",Q49="PASS",R49="PASS",S49="PASS"),"READY","PENDING")</x:f>
        <x:v>PENDING</x:v>
      </x:c>
      <x:c r="U49" s="19" t="str"/>
    </x:row>
    <x:row r="50">
      <x:c r="A50" s="17" t="str">
        <x:v>HO-AI-OTHER-AGENTIC-09</x:v>
      </x:c>
      <x:c r="B50" s="17" t="str">
        <x:v>AI</x:v>
      </x:c>
      <x:c r="C50" s="17" t="str">
        <x:v>AI_OTHER_AGENTIC</x:v>
      </x:c>
      <x:c r="D50" s="17" t="str">
        <x:v>Other agentic/custom</x:v>
      </x:c>
      <x:c r="E50" s="19" t="str"/>
      <x:c r="F50" s="19" t="str"/>
      <x:c r="G50" s="19" t="str"/>
      <x:c r="H50" s="19" t="str"/>
      <x:c r="I50" s="19" t="str"/>
      <x:c r="J50" s="20" t="str"/>
      <x:c r="K50" s="20" t="str"/>
      <x:c r="L50" s="20" t="str"/>
      <x:c r="M50" s="19" t="str">
        <x:v>PENDING</x:v>
      </x:c>
      <x:c r="N50" s="19" t="str"/>
      <x:c r="O50" s="19" t="str"/>
      <x:c r="P50" s="19" t="str"/>
      <x:c r="Q50" s="19" t="str">
        <x:v>PENDING</x:v>
      </x:c>
      <x:c r="R50" s="19" t="str">
        <x:v>PENDING</x:v>
      </x:c>
      <x:c r="S50" s="19" t="str">
        <x:v>PENDING</x:v>
      </x:c>
      <x:c r="T50" s="19" t="str">
        <x:f>IF(AND(E50&lt;&gt;"",F50&lt;&gt;"",G50&lt;&gt;"",H50&lt;&gt;"",I50&lt;&gt;"",K50&lt;&gt;"",L50&lt;&gt;"",M50="REACHABLE",N50&lt;&gt;"",O50&lt;&gt;"",Q50="PASS",R50="PASS",S50="PASS"),"READY","PENDING")</x:f>
        <x:v>PENDING</x:v>
      </x:c>
      <x:c r="U50" s="19" t="str"/>
    </x:row>
    <x:row r="51">
      <x:c r="A51" s="17" t="str">
        <x:v>HO-AI-OTHER-AGENTIC-10</x:v>
      </x:c>
      <x:c r="B51" s="17" t="str">
        <x:v>AI</x:v>
      </x:c>
      <x:c r="C51" s="17" t="str">
        <x:v>AI_OTHER_AGENTIC</x:v>
      </x:c>
      <x:c r="D51" s="17" t="str">
        <x:v>Other agentic/custom</x:v>
      </x:c>
      <x:c r="E51" s="19" t="str"/>
      <x:c r="F51" s="19" t="str"/>
      <x:c r="G51" s="19" t="str"/>
      <x:c r="H51" s="19" t="str"/>
      <x:c r="I51" s="19" t="str"/>
      <x:c r="J51" s="20" t="str"/>
      <x:c r="K51" s="20" t="str"/>
      <x:c r="L51" s="20" t="str"/>
      <x:c r="M51" s="19" t="str">
        <x:v>PENDING</x:v>
      </x:c>
      <x:c r="N51" s="19" t="str"/>
      <x:c r="O51" s="19" t="str"/>
      <x:c r="P51" s="19" t="str"/>
      <x:c r="Q51" s="19" t="str">
        <x:v>PENDING</x:v>
      </x:c>
      <x:c r="R51" s="19" t="str">
        <x:v>PENDING</x:v>
      </x:c>
      <x:c r="S51" s="19" t="str">
        <x:v>PENDING</x:v>
      </x:c>
      <x:c r="T51" s="19" t="str">
        <x:f>IF(AND(E51&lt;&gt;"",F51&lt;&gt;"",G51&lt;&gt;"",H51&lt;&gt;"",I51&lt;&gt;"",K51&lt;&gt;"",L51&lt;&gt;"",M51="REACHABLE",N51&lt;&gt;"",O51&lt;&gt;"",Q51="PASS",R51="PASS",S51="PASS"),"READY","PENDING")</x:f>
        <x:v>PENDING</x:v>
      </x:c>
      <x:c r="U51" s="19" t="str"/>
    </x:row>
    <x:row r="52">
      <x:c r="A52" s="17" t="str">
        <x:v>HO-HUM-MODERN-APP-01</x:v>
      </x:c>
      <x:c r="B52" s="17" t="str">
        <x:v>HUMAN</x:v>
      </x:c>
      <x:c r="C52" s="17" t="str">
        <x:v>HUMAN_MODERN_APP</x:v>
      </x:c>
      <x:c r="D52" s="17" t="str"/>
      <x:c r="E52" s="19" t="str">
        <x:v>Modern web app</x:v>
      </x:c>
      <x:c r="F52" s="19" t="str"/>
      <x:c r="G52" s="19" t="str"/>
      <x:c r="H52" s="19" t="str"/>
      <x:c r="I52" s="19" t="str"/>
      <x:c r="J52" s="20" t="str"/>
      <x:c r="K52" s="20" t="str"/>
      <x:c r="L52" s="20" t="str"/>
      <x:c r="M52" s="19" t="str">
        <x:v>PENDING</x:v>
      </x:c>
      <x:c r="N52" s="19" t="str"/>
      <x:c r="O52" s="19" t="str"/>
      <x:c r="P52" s="19" t="str"/>
      <x:c r="Q52" s="19" t="str">
        <x:v>PENDING</x:v>
      </x:c>
      <x:c r="R52" s="19" t="str">
        <x:v>PENDING</x:v>
      </x:c>
      <x:c r="S52" s="19" t="str">
        <x:v>PENDING</x:v>
      </x:c>
      <x:c r="T52" s="19" t="str">
        <x:f>IF(AND(E52&lt;&gt;"",F52&lt;&gt;"",G52&lt;&gt;"",H52&lt;&gt;"",I52&lt;&gt;"",K52&lt;&gt;"",L52&lt;&gt;"",M52="REACHABLE",N52&lt;&gt;"",O52&lt;&gt;"",Q52="PASS",R52="PASS",S52="PASS"),"READY","PENDING")</x:f>
        <x:v>PENDING</x:v>
      </x:c>
      <x:c r="U52" s="19" t="str"/>
    </x:row>
    <x:row r="53">
      <x:c r="A53" s="17" t="str">
        <x:v>HO-HUM-MODERN-APP-02</x:v>
      </x:c>
      <x:c r="B53" s="17" t="str">
        <x:v>HUMAN</x:v>
      </x:c>
      <x:c r="C53" s="17" t="str">
        <x:v>HUMAN_MODERN_APP</x:v>
      </x:c>
      <x:c r="D53" s="17" t="str"/>
      <x:c r="E53" s="19" t="str">
        <x:v>Modern web app</x:v>
      </x:c>
      <x:c r="F53" s="19" t="str"/>
      <x:c r="G53" s="19" t="str"/>
      <x:c r="H53" s="19" t="str"/>
      <x:c r="I53" s="19" t="str"/>
      <x:c r="J53" s="20" t="str"/>
      <x:c r="K53" s="20" t="str"/>
      <x:c r="L53" s="20" t="str"/>
      <x:c r="M53" s="19" t="str">
        <x:v>PENDING</x:v>
      </x:c>
      <x:c r="N53" s="19" t="str"/>
      <x:c r="O53" s="19" t="str"/>
      <x:c r="P53" s="19" t="str"/>
      <x:c r="Q53" s="19" t="str">
        <x:v>PENDING</x:v>
      </x:c>
      <x:c r="R53" s="19" t="str">
        <x:v>PENDING</x:v>
      </x:c>
      <x:c r="S53" s="19" t="str">
        <x:v>PENDING</x:v>
      </x:c>
      <x:c r="T53" s="19" t="str">
        <x:f>IF(AND(E53&lt;&gt;"",F53&lt;&gt;"",G53&lt;&gt;"",H53&lt;&gt;"",I53&lt;&gt;"",K53&lt;&gt;"",L53&lt;&gt;"",M53="REACHABLE",N53&lt;&gt;"",O53&lt;&gt;"",Q53="PASS",R53="PASS",S53="PASS"),"READY","PENDING")</x:f>
        <x:v>PENDING</x:v>
      </x:c>
      <x:c r="U53" s="19" t="str"/>
    </x:row>
    <x:row r="54">
      <x:c r="A54" s="17" t="str">
        <x:v>HO-HUM-MODERN-APP-03</x:v>
      </x:c>
      <x:c r="B54" s="17" t="str">
        <x:v>HUMAN</x:v>
      </x:c>
      <x:c r="C54" s="17" t="str">
        <x:v>HUMAN_MODERN_APP</x:v>
      </x:c>
      <x:c r="D54" s="17" t="str"/>
      <x:c r="E54" s="19" t="str">
        <x:v>Modern web app</x:v>
      </x:c>
      <x:c r="F54" s="19" t="str"/>
      <x:c r="G54" s="19" t="str"/>
      <x:c r="H54" s="19" t="str"/>
      <x:c r="I54" s="19" t="str"/>
      <x:c r="J54" s="20" t="str"/>
      <x:c r="K54" s="20" t="str"/>
      <x:c r="L54" s="20" t="str"/>
      <x:c r="M54" s="19" t="str">
        <x:v>PENDING</x:v>
      </x:c>
      <x:c r="N54" s="19" t="str"/>
      <x:c r="O54" s="19" t="str"/>
      <x:c r="P54" s="19" t="str"/>
      <x:c r="Q54" s="19" t="str">
        <x:v>PENDING</x:v>
      </x:c>
      <x:c r="R54" s="19" t="str">
        <x:v>PENDING</x:v>
      </x:c>
      <x:c r="S54" s="19" t="str">
        <x:v>PENDING</x:v>
      </x:c>
      <x:c r="T54" s="19" t="str">
        <x:f>IF(AND(E54&lt;&gt;"",F54&lt;&gt;"",G54&lt;&gt;"",H54&lt;&gt;"",I54&lt;&gt;"",K54&lt;&gt;"",L54&lt;&gt;"",M54="REACHABLE",N54&lt;&gt;"",O54&lt;&gt;"",Q54="PASS",R54="PASS",S54="PASS"),"READY","PENDING")</x:f>
        <x:v>PENDING</x:v>
      </x:c>
      <x:c r="U54" s="19" t="str"/>
    </x:row>
    <x:row r="55">
      <x:c r="A55" s="17" t="str">
        <x:v>HO-HUM-MODERN-APP-04</x:v>
      </x:c>
      <x:c r="B55" s="17" t="str">
        <x:v>HUMAN</x:v>
      </x:c>
      <x:c r="C55" s="17" t="str">
        <x:v>HUMAN_MODERN_APP</x:v>
      </x:c>
      <x:c r="D55" s="17" t="str"/>
      <x:c r="E55" s="19" t="str">
        <x:v>Modern web app</x:v>
      </x:c>
      <x:c r="F55" s="19" t="str"/>
      <x:c r="G55" s="19" t="str"/>
      <x:c r="H55" s="19" t="str"/>
      <x:c r="I55" s="19" t="str"/>
      <x:c r="J55" s="20" t="str"/>
      <x:c r="K55" s="20" t="str"/>
      <x:c r="L55" s="20" t="str"/>
      <x:c r="M55" s="19" t="str">
        <x:v>PENDING</x:v>
      </x:c>
      <x:c r="N55" s="19" t="str"/>
      <x:c r="O55" s="19" t="str"/>
      <x:c r="P55" s="19" t="str"/>
      <x:c r="Q55" s="19" t="str">
        <x:v>PENDING</x:v>
      </x:c>
      <x:c r="R55" s="19" t="str">
        <x:v>PENDING</x:v>
      </x:c>
      <x:c r="S55" s="19" t="str">
        <x:v>PENDING</x:v>
      </x:c>
      <x:c r="T55" s="19" t="str">
        <x:f>IF(AND(E55&lt;&gt;"",F55&lt;&gt;"",G55&lt;&gt;"",H55&lt;&gt;"",I55&lt;&gt;"",K55&lt;&gt;"",L55&lt;&gt;"",M55="REACHABLE",N55&lt;&gt;"",O55&lt;&gt;"",Q55="PASS",R55="PASS",S55="PASS"),"READY","PENDING")</x:f>
        <x:v>PENDING</x:v>
      </x:c>
      <x:c r="U55" s="19" t="str"/>
    </x:row>
    <x:row r="56">
      <x:c r="A56" s="17" t="str">
        <x:v>HO-HUM-MODERN-APP-05</x:v>
      </x:c>
      <x:c r="B56" s="17" t="str">
        <x:v>HUMAN</x:v>
      </x:c>
      <x:c r="C56" s="17" t="str">
        <x:v>HUMAN_MODERN_APP</x:v>
      </x:c>
      <x:c r="D56" s="17" t="str"/>
      <x:c r="E56" s="19" t="str">
        <x:v>Modern web app</x:v>
      </x:c>
      <x:c r="F56" s="19" t="str"/>
      <x:c r="G56" s="19" t="str"/>
      <x:c r="H56" s="19" t="str"/>
      <x:c r="I56" s="19" t="str"/>
      <x:c r="J56" s="20" t="str"/>
      <x:c r="K56" s="20" t="str"/>
      <x:c r="L56" s="20" t="str"/>
      <x:c r="M56" s="19" t="str">
        <x:v>PENDING</x:v>
      </x:c>
      <x:c r="N56" s="19" t="str"/>
      <x:c r="O56" s="19" t="str"/>
      <x:c r="P56" s="19" t="str"/>
      <x:c r="Q56" s="19" t="str">
        <x:v>PENDING</x:v>
      </x:c>
      <x:c r="R56" s="19" t="str">
        <x:v>PENDING</x:v>
      </x:c>
      <x:c r="S56" s="19" t="str">
        <x:v>PENDING</x:v>
      </x:c>
      <x:c r="T56" s="19" t="str">
        <x:f>IF(AND(E56&lt;&gt;"",F56&lt;&gt;"",G56&lt;&gt;"",H56&lt;&gt;"",I56&lt;&gt;"",K56&lt;&gt;"",L56&lt;&gt;"",M56="REACHABLE",N56&lt;&gt;"",O56&lt;&gt;"",Q56="PASS",R56="PASS",S56="PASS"),"READY","PENDING")</x:f>
        <x:v>PENDING</x:v>
      </x:c>
      <x:c r="U56" s="19" t="str"/>
    </x:row>
    <x:row r="57">
      <x:c r="A57" s="17" t="str">
        <x:v>HO-HUM-MODERN-APP-06</x:v>
      </x:c>
      <x:c r="B57" s="17" t="str">
        <x:v>HUMAN</x:v>
      </x:c>
      <x:c r="C57" s="17" t="str">
        <x:v>HUMAN_MODERN_APP</x:v>
      </x:c>
      <x:c r="D57" s="17" t="str"/>
      <x:c r="E57" s="19" t="str">
        <x:v>Modern web app</x:v>
      </x:c>
      <x:c r="F57" s="19" t="str"/>
      <x:c r="G57" s="19" t="str"/>
      <x:c r="H57" s="19" t="str"/>
      <x:c r="I57" s="19" t="str"/>
      <x:c r="J57" s="20" t="str"/>
      <x:c r="K57" s="20" t="str"/>
      <x:c r="L57" s="20" t="str"/>
      <x:c r="M57" s="19" t="str">
        <x:v>PENDING</x:v>
      </x:c>
      <x:c r="N57" s="19" t="str"/>
      <x:c r="O57" s="19" t="str"/>
      <x:c r="P57" s="19" t="str"/>
      <x:c r="Q57" s="19" t="str">
        <x:v>PENDING</x:v>
      </x:c>
      <x:c r="R57" s="19" t="str">
        <x:v>PENDING</x:v>
      </x:c>
      <x:c r="S57" s="19" t="str">
        <x:v>PENDING</x:v>
      </x:c>
      <x:c r="T57" s="19" t="str">
        <x:f>IF(AND(E57&lt;&gt;"",F57&lt;&gt;"",G57&lt;&gt;"",H57&lt;&gt;"",I57&lt;&gt;"",K57&lt;&gt;"",L57&lt;&gt;"",M57="REACHABLE",N57&lt;&gt;"",O57&lt;&gt;"",Q57="PASS",R57="PASS",S57="PASS"),"READY","PENDING")</x:f>
        <x:v>PENDING</x:v>
      </x:c>
      <x:c r="U57" s="19" t="str"/>
    </x:row>
    <x:row r="58">
      <x:c r="A58" s="17" t="str">
        <x:v>HO-HUM-MODERN-APP-07</x:v>
      </x:c>
      <x:c r="B58" s="17" t="str">
        <x:v>HUMAN</x:v>
      </x:c>
      <x:c r="C58" s="17" t="str">
        <x:v>HUMAN_MODERN_APP</x:v>
      </x:c>
      <x:c r="D58" s="17" t="str"/>
      <x:c r="E58" s="19" t="str">
        <x:v>Modern web app</x:v>
      </x:c>
      <x:c r="F58" s="19" t="str"/>
      <x:c r="G58" s="19" t="str"/>
      <x:c r="H58" s="19" t="str"/>
      <x:c r="I58" s="19" t="str"/>
      <x:c r="J58" s="20" t="str"/>
      <x:c r="K58" s="20" t="str"/>
      <x:c r="L58" s="20" t="str"/>
      <x:c r="M58" s="19" t="str">
        <x:v>PENDING</x:v>
      </x:c>
      <x:c r="N58" s="19" t="str"/>
      <x:c r="O58" s="19" t="str"/>
      <x:c r="P58" s="19" t="str"/>
      <x:c r="Q58" s="19" t="str">
        <x:v>PENDING</x:v>
      </x:c>
      <x:c r="R58" s="19" t="str">
        <x:v>PENDING</x:v>
      </x:c>
      <x:c r="S58" s="19" t="str">
        <x:v>PENDING</x:v>
      </x:c>
      <x:c r="T58" s="19" t="str">
        <x:f>IF(AND(E58&lt;&gt;"",F58&lt;&gt;"",G58&lt;&gt;"",H58&lt;&gt;"",I58&lt;&gt;"",K58&lt;&gt;"",L58&lt;&gt;"",M58="REACHABLE",N58&lt;&gt;"",O58&lt;&gt;"",Q58="PASS",R58="PASS",S58="PASS"),"READY","PENDING")</x:f>
        <x:v>PENDING</x:v>
      </x:c>
      <x:c r="U58" s="19" t="str"/>
    </x:row>
    <x:row r="59">
      <x:c r="A59" s="17" t="str">
        <x:v>HO-HUM-MODERN-APP-08</x:v>
      </x:c>
      <x:c r="B59" s="17" t="str">
        <x:v>HUMAN</x:v>
      </x:c>
      <x:c r="C59" s="17" t="str">
        <x:v>HUMAN_MODERN_APP</x:v>
      </x:c>
      <x:c r="D59" s="17" t="str"/>
      <x:c r="E59" s="19" t="str">
        <x:v>Modern web app</x:v>
      </x:c>
      <x:c r="F59" s="19" t="str"/>
      <x:c r="G59" s="19" t="str"/>
      <x:c r="H59" s="19" t="str"/>
      <x:c r="I59" s="19" t="str"/>
      <x:c r="J59" s="20" t="str"/>
      <x:c r="K59" s="20" t="str"/>
      <x:c r="L59" s="20" t="str"/>
      <x:c r="M59" s="19" t="str">
        <x:v>PENDING</x:v>
      </x:c>
      <x:c r="N59" s="19" t="str"/>
      <x:c r="O59" s="19" t="str"/>
      <x:c r="P59" s="19" t="str"/>
      <x:c r="Q59" s="19" t="str">
        <x:v>PENDING</x:v>
      </x:c>
      <x:c r="R59" s="19" t="str">
        <x:v>PENDING</x:v>
      </x:c>
      <x:c r="S59" s="19" t="str">
        <x:v>PENDING</x:v>
      </x:c>
      <x:c r="T59" s="19" t="str">
        <x:f>IF(AND(E59&lt;&gt;"",F59&lt;&gt;"",G59&lt;&gt;"",H59&lt;&gt;"",I59&lt;&gt;"",K59&lt;&gt;"",L59&lt;&gt;"",M59="REACHABLE",N59&lt;&gt;"",O59&lt;&gt;"",Q59="PASS",R59="PASS",S59="PASS"),"READY","PENDING")</x:f>
        <x:v>PENDING</x:v>
      </x:c>
      <x:c r="U59" s="19" t="str"/>
    </x:row>
    <x:row r="60">
      <x:c r="A60" s="17" t="str">
        <x:v>HO-HUM-MODERN-APP-09</x:v>
      </x:c>
      <x:c r="B60" s="17" t="str">
        <x:v>HUMAN</x:v>
      </x:c>
      <x:c r="C60" s="17" t="str">
        <x:v>HUMAN_MODERN_APP</x:v>
      </x:c>
      <x:c r="D60" s="17" t="str"/>
      <x:c r="E60" s="19" t="str">
        <x:v>Modern web app</x:v>
      </x:c>
      <x:c r="F60" s="19" t="str"/>
      <x:c r="G60" s="19" t="str"/>
      <x:c r="H60" s="19" t="str"/>
      <x:c r="I60" s="19" t="str"/>
      <x:c r="J60" s="20" t="str"/>
      <x:c r="K60" s="20" t="str"/>
      <x:c r="L60" s="20" t="str"/>
      <x:c r="M60" s="19" t="str">
        <x:v>PENDING</x:v>
      </x:c>
      <x:c r="N60" s="19" t="str"/>
      <x:c r="O60" s="19" t="str"/>
      <x:c r="P60" s="19" t="str"/>
      <x:c r="Q60" s="19" t="str">
        <x:v>PENDING</x:v>
      </x:c>
      <x:c r="R60" s="19" t="str">
        <x:v>PENDING</x:v>
      </x:c>
      <x:c r="S60" s="19" t="str">
        <x:v>PENDING</x:v>
      </x:c>
      <x:c r="T60" s="19" t="str">
        <x:f>IF(AND(E60&lt;&gt;"",F60&lt;&gt;"",G60&lt;&gt;"",H60&lt;&gt;"",I60&lt;&gt;"",K60&lt;&gt;"",L60&lt;&gt;"",M60="REACHABLE",N60&lt;&gt;"",O60&lt;&gt;"",Q60="PASS",R60="PASS",S60="PASS"),"READY","PENDING")</x:f>
        <x:v>PENDING</x:v>
      </x:c>
      <x:c r="U60" s="19" t="str"/>
    </x:row>
    <x:row r="61">
      <x:c r="A61" s="17" t="str">
        <x:v>HO-HUM-MODERN-APP-10</x:v>
      </x:c>
      <x:c r="B61" s="17" t="str">
        <x:v>HUMAN</x:v>
      </x:c>
      <x:c r="C61" s="17" t="str">
        <x:v>HUMAN_MODERN_APP</x:v>
      </x:c>
      <x:c r="D61" s="17" t="str"/>
      <x:c r="E61" s="19" t="str">
        <x:v>Modern web app</x:v>
      </x:c>
      <x:c r="F61" s="19" t="str"/>
      <x:c r="G61" s="19" t="str"/>
      <x:c r="H61" s="19" t="str"/>
      <x:c r="I61" s="19" t="str"/>
      <x:c r="J61" s="20" t="str"/>
      <x:c r="K61" s="20" t="str"/>
      <x:c r="L61" s="20" t="str"/>
      <x:c r="M61" s="19" t="str">
        <x:v>PENDING</x:v>
      </x:c>
      <x:c r="N61" s="19" t="str"/>
      <x:c r="O61" s="19" t="str"/>
      <x:c r="P61" s="19" t="str"/>
      <x:c r="Q61" s="19" t="str">
        <x:v>PENDING</x:v>
      </x:c>
      <x:c r="R61" s="19" t="str">
        <x:v>PENDING</x:v>
      </x:c>
      <x:c r="S61" s="19" t="str">
        <x:v>PENDING</x:v>
      </x:c>
      <x:c r="T61" s="19" t="str">
        <x:f>IF(AND(E61&lt;&gt;"",F61&lt;&gt;"",G61&lt;&gt;"",H61&lt;&gt;"",I61&lt;&gt;"",K61&lt;&gt;"",L61&lt;&gt;"",M61="REACHABLE",N61&lt;&gt;"",O61&lt;&gt;"",Q61="PASS",R61="PASS",S61="PASS"),"READY","PENDING")</x:f>
        <x:v>PENDING</x:v>
      </x:c>
      <x:c r="U61" s="19" t="str"/>
    </x:row>
    <x:row r="62">
      <x:c r="A62" s="17" t="str">
        <x:v>HO-HUM-SAAS-01</x:v>
      </x:c>
      <x:c r="B62" s="17" t="str">
        <x:v>HUMAN</x:v>
      </x:c>
      <x:c r="C62" s="17" t="str">
        <x:v>HUMAN_SAAS</x:v>
      </x:c>
      <x:c r="D62" s="17" t="str"/>
      <x:c r="E62" s="19" t="str">
        <x:v>SaaS/product</x:v>
      </x:c>
      <x:c r="F62" s="19" t="str"/>
      <x:c r="G62" s="19" t="str"/>
      <x:c r="H62" s="19" t="str"/>
      <x:c r="I62" s="19" t="str"/>
      <x:c r="J62" s="20" t="str"/>
      <x:c r="K62" s="20" t="str"/>
      <x:c r="L62" s="20" t="str"/>
      <x:c r="M62" s="19" t="str">
        <x:v>PENDING</x:v>
      </x:c>
      <x:c r="N62" s="19" t="str"/>
      <x:c r="O62" s="19" t="str"/>
      <x:c r="P62" s="19" t="str"/>
      <x:c r="Q62" s="19" t="str">
        <x:v>PENDING</x:v>
      </x:c>
      <x:c r="R62" s="19" t="str">
        <x:v>PENDING</x:v>
      </x:c>
      <x:c r="S62" s="19" t="str">
        <x:v>PENDING</x:v>
      </x:c>
      <x:c r="T62" s="19" t="str">
        <x:f>IF(AND(E62&lt;&gt;"",F62&lt;&gt;"",G62&lt;&gt;"",H62&lt;&gt;"",I62&lt;&gt;"",K62&lt;&gt;"",L62&lt;&gt;"",M62="REACHABLE",N62&lt;&gt;"",O62&lt;&gt;"",Q62="PASS",R62="PASS",S62="PASS"),"READY","PENDING")</x:f>
        <x:v>PENDING</x:v>
      </x:c>
      <x:c r="U62" s="19" t="str"/>
    </x:row>
    <x:row r="63">
      <x:c r="A63" s="17" t="str">
        <x:v>HO-HUM-SAAS-02</x:v>
      </x:c>
      <x:c r="B63" s="17" t="str">
        <x:v>HUMAN</x:v>
      </x:c>
      <x:c r="C63" s="17" t="str">
        <x:v>HUMAN_SAAS</x:v>
      </x:c>
      <x:c r="D63" s="17" t="str"/>
      <x:c r="E63" s="19" t="str">
        <x:v>SaaS/product</x:v>
      </x:c>
      <x:c r="F63" s="19" t="str"/>
      <x:c r="G63" s="19" t="str"/>
      <x:c r="H63" s="19" t="str"/>
      <x:c r="I63" s="19" t="str"/>
      <x:c r="J63" s="20" t="str"/>
      <x:c r="K63" s="20" t="str"/>
      <x:c r="L63" s="20" t="str"/>
      <x:c r="M63" s="19" t="str">
        <x:v>PENDING</x:v>
      </x:c>
      <x:c r="N63" s="19" t="str"/>
      <x:c r="O63" s="19" t="str"/>
      <x:c r="P63" s="19" t="str"/>
      <x:c r="Q63" s="19" t="str">
        <x:v>PENDING</x:v>
      </x:c>
      <x:c r="R63" s="19" t="str">
        <x:v>PENDING</x:v>
      </x:c>
      <x:c r="S63" s="19" t="str">
        <x:v>PENDING</x:v>
      </x:c>
      <x:c r="T63" s="19" t="str">
        <x:f>IF(AND(E63&lt;&gt;"",F63&lt;&gt;"",G63&lt;&gt;"",H63&lt;&gt;"",I63&lt;&gt;"",K63&lt;&gt;"",L63&lt;&gt;"",M63="REACHABLE",N63&lt;&gt;"",O63&lt;&gt;"",Q63="PASS",R63="PASS",S63="PASS"),"READY","PENDING")</x:f>
        <x:v>PENDING</x:v>
      </x:c>
      <x:c r="U63" s="19" t="str"/>
    </x:row>
    <x:row r="64">
      <x:c r="A64" s="17" t="str">
        <x:v>HO-HUM-SAAS-03</x:v>
      </x:c>
      <x:c r="B64" s="17" t="str">
        <x:v>HUMAN</x:v>
      </x:c>
      <x:c r="C64" s="17" t="str">
        <x:v>HUMAN_SAAS</x:v>
      </x:c>
      <x:c r="D64" s="17" t="str"/>
      <x:c r="E64" s="19" t="str">
        <x:v>SaaS/product</x:v>
      </x:c>
      <x:c r="F64" s="19" t="str"/>
      <x:c r="G64" s="19" t="str"/>
      <x:c r="H64" s="19" t="str"/>
      <x:c r="I64" s="19" t="str"/>
      <x:c r="J64" s="20" t="str"/>
      <x:c r="K64" s="20" t="str"/>
      <x:c r="L64" s="20" t="str"/>
      <x:c r="M64" s="19" t="str">
        <x:v>PENDING</x:v>
      </x:c>
      <x:c r="N64" s="19" t="str"/>
      <x:c r="O64" s="19" t="str"/>
      <x:c r="P64" s="19" t="str"/>
      <x:c r="Q64" s="19" t="str">
        <x:v>PENDING</x:v>
      </x:c>
      <x:c r="R64" s="19" t="str">
        <x:v>PENDING</x:v>
      </x:c>
      <x:c r="S64" s="19" t="str">
        <x:v>PENDING</x:v>
      </x:c>
      <x:c r="T64" s="19" t="str">
        <x:f>IF(AND(E64&lt;&gt;"",F64&lt;&gt;"",G64&lt;&gt;"",H64&lt;&gt;"",I64&lt;&gt;"",K64&lt;&gt;"",L64&lt;&gt;"",M64="REACHABLE",N64&lt;&gt;"",O64&lt;&gt;"",Q64="PASS",R64="PASS",S64="PASS"),"READY","PENDING")</x:f>
        <x:v>PENDING</x:v>
      </x:c>
      <x:c r="U64" s="19" t="str"/>
    </x:row>
    <x:row r="65">
      <x:c r="A65" s="17" t="str">
        <x:v>HO-HUM-SAAS-04</x:v>
      </x:c>
      <x:c r="B65" s="17" t="str">
        <x:v>HUMAN</x:v>
      </x:c>
      <x:c r="C65" s="17" t="str">
        <x:v>HUMAN_SAAS</x:v>
      </x:c>
      <x:c r="D65" s="17" t="str"/>
      <x:c r="E65" s="19" t="str">
        <x:v>SaaS/product</x:v>
      </x:c>
      <x:c r="F65" s="19" t="str"/>
      <x:c r="G65" s="19" t="str"/>
      <x:c r="H65" s="19" t="str"/>
      <x:c r="I65" s="19" t="str"/>
      <x:c r="J65" s="20" t="str"/>
      <x:c r="K65" s="20" t="str"/>
      <x:c r="L65" s="20" t="str"/>
      <x:c r="M65" s="19" t="str">
        <x:v>PENDING</x:v>
      </x:c>
      <x:c r="N65" s="19" t="str"/>
      <x:c r="O65" s="19" t="str"/>
      <x:c r="P65" s="19" t="str"/>
      <x:c r="Q65" s="19" t="str">
        <x:v>PENDING</x:v>
      </x:c>
      <x:c r="R65" s="19" t="str">
        <x:v>PENDING</x:v>
      </x:c>
      <x:c r="S65" s="19" t="str">
        <x:v>PENDING</x:v>
      </x:c>
      <x:c r="T65" s="19" t="str">
        <x:f>IF(AND(E65&lt;&gt;"",F65&lt;&gt;"",G65&lt;&gt;"",H65&lt;&gt;"",I65&lt;&gt;"",K65&lt;&gt;"",L65&lt;&gt;"",M65="REACHABLE",N65&lt;&gt;"",O65&lt;&gt;"",Q65="PASS",R65="PASS",S65="PASS"),"READY","PENDING")</x:f>
        <x:v>PENDING</x:v>
      </x:c>
      <x:c r="U65" s="19" t="str"/>
    </x:row>
    <x:row r="66">
      <x:c r="A66" s="17" t="str">
        <x:v>HO-HUM-SAAS-05</x:v>
      </x:c>
      <x:c r="B66" s="17" t="str">
        <x:v>HUMAN</x:v>
      </x:c>
      <x:c r="C66" s="17" t="str">
        <x:v>HUMAN_SAAS</x:v>
      </x:c>
      <x:c r="D66" s="17" t="str"/>
      <x:c r="E66" s="19" t="str">
        <x:v>SaaS/product</x:v>
      </x:c>
      <x:c r="F66" s="19" t="str"/>
      <x:c r="G66" s="19" t="str"/>
      <x:c r="H66" s="19" t="str"/>
      <x:c r="I66" s="19" t="str"/>
      <x:c r="J66" s="20" t="str"/>
      <x:c r="K66" s="20" t="str"/>
      <x:c r="L66" s="20" t="str"/>
      <x:c r="M66" s="19" t="str">
        <x:v>PENDING</x:v>
      </x:c>
      <x:c r="N66" s="19" t="str"/>
      <x:c r="O66" s="19" t="str"/>
      <x:c r="P66" s="19" t="str"/>
      <x:c r="Q66" s="19" t="str">
        <x:v>PENDING</x:v>
      </x:c>
      <x:c r="R66" s="19" t="str">
        <x:v>PENDING</x:v>
      </x:c>
      <x:c r="S66" s="19" t="str">
        <x:v>PENDING</x:v>
      </x:c>
      <x:c r="T66" s="19" t="str">
        <x:f>IF(AND(E66&lt;&gt;"",F66&lt;&gt;"",G66&lt;&gt;"",H66&lt;&gt;"",I66&lt;&gt;"",K66&lt;&gt;"",L66&lt;&gt;"",M66="REACHABLE",N66&lt;&gt;"",O66&lt;&gt;"",Q66="PASS",R66="PASS",S66="PASS"),"READY","PENDING")</x:f>
        <x:v>PENDING</x:v>
      </x:c>
      <x:c r="U66" s="19" t="str"/>
    </x:row>
    <x:row r="67">
      <x:c r="A67" s="17" t="str">
        <x:v>HO-HUM-SAAS-06</x:v>
      </x:c>
      <x:c r="B67" s="17" t="str">
        <x:v>HUMAN</x:v>
      </x:c>
      <x:c r="C67" s="17" t="str">
        <x:v>HUMAN_SAAS</x:v>
      </x:c>
      <x:c r="D67" s="17" t="str"/>
      <x:c r="E67" s="19" t="str">
        <x:v>SaaS/product</x:v>
      </x:c>
      <x:c r="F67" s="19" t="str"/>
      <x:c r="G67" s="19" t="str"/>
      <x:c r="H67" s="19" t="str"/>
      <x:c r="I67" s="19" t="str"/>
      <x:c r="J67" s="20" t="str"/>
      <x:c r="K67" s="20" t="str"/>
      <x:c r="L67" s="20" t="str"/>
      <x:c r="M67" s="19" t="str">
        <x:v>PENDING</x:v>
      </x:c>
      <x:c r="N67" s="19" t="str"/>
      <x:c r="O67" s="19" t="str"/>
      <x:c r="P67" s="19" t="str"/>
      <x:c r="Q67" s="19" t="str">
        <x:v>PENDING</x:v>
      </x:c>
      <x:c r="R67" s="19" t="str">
        <x:v>PENDING</x:v>
      </x:c>
      <x:c r="S67" s="19" t="str">
        <x:v>PENDING</x:v>
      </x:c>
      <x:c r="T67" s="19" t="str">
        <x:f>IF(AND(E67&lt;&gt;"",F67&lt;&gt;"",G67&lt;&gt;"",H67&lt;&gt;"",I67&lt;&gt;"",K67&lt;&gt;"",L67&lt;&gt;"",M67="REACHABLE",N67&lt;&gt;"",O67&lt;&gt;"",Q67="PASS",R67="PASS",S67="PASS"),"READY","PENDING")</x:f>
        <x:v>PENDING</x:v>
      </x:c>
      <x:c r="U67" s="19" t="str"/>
    </x:row>
    <x:row r="68">
      <x:c r="A68" s="17" t="str">
        <x:v>HO-HUM-SAAS-07</x:v>
      </x:c>
      <x:c r="B68" s="17" t="str">
        <x:v>HUMAN</x:v>
      </x:c>
      <x:c r="C68" s="17" t="str">
        <x:v>HUMAN_SAAS</x:v>
      </x:c>
      <x:c r="D68" s="17" t="str"/>
      <x:c r="E68" s="19" t="str">
        <x:v>SaaS/product</x:v>
      </x:c>
      <x:c r="F68" s="19" t="str"/>
      <x:c r="G68" s="19" t="str"/>
      <x:c r="H68" s="19" t="str"/>
      <x:c r="I68" s="19" t="str"/>
      <x:c r="J68" s="20" t="str"/>
      <x:c r="K68" s="20" t="str"/>
      <x:c r="L68" s="20" t="str"/>
      <x:c r="M68" s="19" t="str">
        <x:v>PENDING</x:v>
      </x:c>
      <x:c r="N68" s="19" t="str"/>
      <x:c r="O68" s="19" t="str"/>
      <x:c r="P68" s="19" t="str"/>
      <x:c r="Q68" s="19" t="str">
        <x:v>PENDING</x:v>
      </x:c>
      <x:c r="R68" s="19" t="str">
        <x:v>PENDING</x:v>
      </x:c>
      <x:c r="S68" s="19" t="str">
        <x:v>PENDING</x:v>
      </x:c>
      <x:c r="T68" s="19" t="str">
        <x:f>IF(AND(E68&lt;&gt;"",F68&lt;&gt;"",G68&lt;&gt;"",H68&lt;&gt;"",I68&lt;&gt;"",K68&lt;&gt;"",L68&lt;&gt;"",M68="REACHABLE",N68&lt;&gt;"",O68&lt;&gt;"",Q68="PASS",R68="PASS",S68="PASS"),"READY","PENDING")</x:f>
        <x:v>PENDING</x:v>
      </x:c>
      <x:c r="U68" s="19" t="str"/>
    </x:row>
    <x:row r="69">
      <x:c r="A69" s="17" t="str">
        <x:v>HO-HUM-SAAS-08</x:v>
      </x:c>
      <x:c r="B69" s="17" t="str">
        <x:v>HUMAN</x:v>
      </x:c>
      <x:c r="C69" s="17" t="str">
        <x:v>HUMAN_SAAS</x:v>
      </x:c>
      <x:c r="D69" s="17" t="str"/>
      <x:c r="E69" s="19" t="str">
        <x:v>SaaS/product</x:v>
      </x:c>
      <x:c r="F69" s="19" t="str"/>
      <x:c r="G69" s="19" t="str"/>
      <x:c r="H69" s="19" t="str"/>
      <x:c r="I69" s="19" t="str"/>
      <x:c r="J69" s="20" t="str"/>
      <x:c r="K69" s="20" t="str"/>
      <x:c r="L69" s="20" t="str"/>
      <x:c r="M69" s="19" t="str">
        <x:v>PENDING</x:v>
      </x:c>
      <x:c r="N69" s="19" t="str"/>
      <x:c r="O69" s="19" t="str"/>
      <x:c r="P69" s="19" t="str"/>
      <x:c r="Q69" s="19" t="str">
        <x:v>PENDING</x:v>
      </x:c>
      <x:c r="R69" s="19" t="str">
        <x:v>PENDING</x:v>
      </x:c>
      <x:c r="S69" s="19" t="str">
        <x:v>PENDING</x:v>
      </x:c>
      <x:c r="T69" s="19" t="str">
        <x:f>IF(AND(E69&lt;&gt;"",F69&lt;&gt;"",G69&lt;&gt;"",H69&lt;&gt;"",I69&lt;&gt;"",K69&lt;&gt;"",L69&lt;&gt;"",M69="REACHABLE",N69&lt;&gt;"",O69&lt;&gt;"",Q69="PASS",R69="PASS",S69="PASS"),"READY","PENDING")</x:f>
        <x:v>PENDING</x:v>
      </x:c>
      <x:c r="U69" s="19" t="str"/>
    </x:row>
    <x:row r="70">
      <x:c r="A70" s="17" t="str">
        <x:v>HO-HUM-SAAS-09</x:v>
      </x:c>
      <x:c r="B70" s="17" t="str">
        <x:v>HUMAN</x:v>
      </x:c>
      <x:c r="C70" s="17" t="str">
        <x:v>HUMAN_SAAS</x:v>
      </x:c>
      <x:c r="D70" s="17" t="str"/>
      <x:c r="E70" s="19" t="str">
        <x:v>SaaS/product</x:v>
      </x:c>
      <x:c r="F70" s="19" t="str"/>
      <x:c r="G70" s="19" t="str"/>
      <x:c r="H70" s="19" t="str"/>
      <x:c r="I70" s="19" t="str"/>
      <x:c r="J70" s="20" t="str"/>
      <x:c r="K70" s="20" t="str"/>
      <x:c r="L70" s="20" t="str"/>
      <x:c r="M70" s="19" t="str">
        <x:v>PENDING</x:v>
      </x:c>
      <x:c r="N70" s="19" t="str"/>
      <x:c r="O70" s="19" t="str"/>
      <x:c r="P70" s="19" t="str"/>
      <x:c r="Q70" s="19" t="str">
        <x:v>PENDING</x:v>
      </x:c>
      <x:c r="R70" s="19" t="str">
        <x:v>PENDING</x:v>
      </x:c>
      <x:c r="S70" s="19" t="str">
        <x:v>PENDING</x:v>
      </x:c>
      <x:c r="T70" s="19" t="str">
        <x:f>IF(AND(E70&lt;&gt;"",F70&lt;&gt;"",G70&lt;&gt;"",H70&lt;&gt;"",I70&lt;&gt;"",K70&lt;&gt;"",L70&lt;&gt;"",M70="REACHABLE",N70&lt;&gt;"",O70&lt;&gt;"",Q70="PASS",R70="PASS",S70="PASS"),"READY","PENDING")</x:f>
        <x:v>PENDING</x:v>
      </x:c>
      <x:c r="U70" s="19" t="str"/>
    </x:row>
    <x:row r="71">
      <x:c r="A71" s="17" t="str">
        <x:v>HO-HUM-SAAS-10</x:v>
      </x:c>
      <x:c r="B71" s="17" t="str">
        <x:v>HUMAN</x:v>
      </x:c>
      <x:c r="C71" s="17" t="str">
        <x:v>HUMAN_SAAS</x:v>
      </x:c>
      <x:c r="D71" s="17" t="str"/>
      <x:c r="E71" s="19" t="str">
        <x:v>SaaS/product</x:v>
      </x:c>
      <x:c r="F71" s="19" t="str"/>
      <x:c r="G71" s="19" t="str"/>
      <x:c r="H71" s="19" t="str"/>
      <x:c r="I71" s="19" t="str"/>
      <x:c r="J71" s="20" t="str"/>
      <x:c r="K71" s="20" t="str"/>
      <x:c r="L71" s="20" t="str"/>
      <x:c r="M71" s="19" t="str">
        <x:v>PENDING</x:v>
      </x:c>
      <x:c r="N71" s="19" t="str"/>
      <x:c r="O71" s="19" t="str"/>
      <x:c r="P71" s="19" t="str"/>
      <x:c r="Q71" s="19" t="str">
        <x:v>PENDING</x:v>
      </x:c>
      <x:c r="R71" s="19" t="str">
        <x:v>PENDING</x:v>
      </x:c>
      <x:c r="S71" s="19" t="str">
        <x:v>PENDING</x:v>
      </x:c>
      <x:c r="T71" s="19" t="str">
        <x:f>IF(AND(E71&lt;&gt;"",F71&lt;&gt;"",G71&lt;&gt;"",H71&lt;&gt;"",I71&lt;&gt;"",K71&lt;&gt;"",L71&lt;&gt;"",M71="REACHABLE",N71&lt;&gt;"",O71&lt;&gt;"",Q71="PASS",R71="PASS",S71="PASS"),"READY","PENDING")</x:f>
        <x:v>PENDING</x:v>
      </x:c>
      <x:c r="U71" s="19" t="str"/>
    </x:row>
    <x:row r="72">
      <x:c r="A72" s="17" t="str">
        <x:v>HO-HUM-PORTFOLIO-AGENCY-01</x:v>
      </x:c>
      <x:c r="B72" s="17" t="str">
        <x:v>HUMAN</x:v>
      </x:c>
      <x:c r="C72" s="17" t="str">
        <x:v>HUMAN_PORTFOLIO_AGENCY</x:v>
      </x:c>
      <x:c r="D72" s="17" t="str"/>
      <x:c r="E72" s="19" t="str">
        <x:v>Portfolio/agency</x:v>
      </x:c>
      <x:c r="F72" s="19" t="str"/>
      <x:c r="G72" s="19" t="str"/>
      <x:c r="H72" s="19" t="str"/>
      <x:c r="I72" s="19" t="str"/>
      <x:c r="J72" s="20" t="str"/>
      <x:c r="K72" s="20" t="str"/>
      <x:c r="L72" s="20" t="str"/>
      <x:c r="M72" s="19" t="str">
        <x:v>PENDING</x:v>
      </x:c>
      <x:c r="N72" s="19" t="str"/>
      <x:c r="O72" s="19" t="str"/>
      <x:c r="P72" s="19" t="str"/>
      <x:c r="Q72" s="19" t="str">
        <x:v>PENDING</x:v>
      </x:c>
      <x:c r="R72" s="19" t="str">
        <x:v>PENDING</x:v>
      </x:c>
      <x:c r="S72" s="19" t="str">
        <x:v>PENDING</x:v>
      </x:c>
      <x:c r="T72" s="19" t="str">
        <x:f>IF(AND(E72&lt;&gt;"",F72&lt;&gt;"",G72&lt;&gt;"",H72&lt;&gt;"",I72&lt;&gt;"",K72&lt;&gt;"",L72&lt;&gt;"",M72="REACHABLE",N72&lt;&gt;"",O72&lt;&gt;"",Q72="PASS",R72="PASS",S72="PASS"),"READY","PENDING")</x:f>
        <x:v>PENDING</x:v>
      </x:c>
      <x:c r="U72" s="19" t="str"/>
    </x:row>
    <x:row r="73">
      <x:c r="A73" s="17" t="str">
        <x:v>HO-HUM-PORTFOLIO-AGENCY-02</x:v>
      </x:c>
      <x:c r="B73" s="17" t="str">
        <x:v>HUMAN</x:v>
      </x:c>
      <x:c r="C73" s="17" t="str">
        <x:v>HUMAN_PORTFOLIO_AGENCY</x:v>
      </x:c>
      <x:c r="D73" s="17" t="str"/>
      <x:c r="E73" s="19" t="str">
        <x:v>Portfolio/agency</x:v>
      </x:c>
      <x:c r="F73" s="19" t="str"/>
      <x:c r="G73" s="19" t="str"/>
      <x:c r="H73" s="19" t="str"/>
      <x:c r="I73" s="19" t="str"/>
      <x:c r="J73" s="20" t="str"/>
      <x:c r="K73" s="20" t="str"/>
      <x:c r="L73" s="20" t="str"/>
      <x:c r="M73" s="19" t="str">
        <x:v>PENDING</x:v>
      </x:c>
      <x:c r="N73" s="19" t="str"/>
      <x:c r="O73" s="19" t="str"/>
      <x:c r="P73" s="19" t="str"/>
      <x:c r="Q73" s="19" t="str">
        <x:v>PENDING</x:v>
      </x:c>
      <x:c r="R73" s="19" t="str">
        <x:v>PENDING</x:v>
      </x:c>
      <x:c r="S73" s="19" t="str">
        <x:v>PENDING</x:v>
      </x:c>
      <x:c r="T73" s="19" t="str">
        <x:f>IF(AND(E73&lt;&gt;"",F73&lt;&gt;"",G73&lt;&gt;"",H73&lt;&gt;"",I73&lt;&gt;"",K73&lt;&gt;"",L73&lt;&gt;"",M73="REACHABLE",N73&lt;&gt;"",O73&lt;&gt;"",Q73="PASS",R73="PASS",S73="PASS"),"READY","PENDING")</x:f>
        <x:v>PENDING</x:v>
      </x:c>
      <x:c r="U73" s="19" t="str"/>
    </x:row>
    <x:row r="74">
      <x:c r="A74" s="17" t="str">
        <x:v>HO-HUM-PORTFOLIO-AGENCY-03</x:v>
      </x:c>
      <x:c r="B74" s="17" t="str">
        <x:v>HUMAN</x:v>
      </x:c>
      <x:c r="C74" s="17" t="str">
        <x:v>HUMAN_PORTFOLIO_AGENCY</x:v>
      </x:c>
      <x:c r="D74" s="17" t="str"/>
      <x:c r="E74" s="19" t="str">
        <x:v>Portfolio/agency</x:v>
      </x:c>
      <x:c r="F74" s="19" t="str"/>
      <x:c r="G74" s="19" t="str"/>
      <x:c r="H74" s="19" t="str"/>
      <x:c r="I74" s="19" t="str"/>
      <x:c r="J74" s="20" t="str"/>
      <x:c r="K74" s="20" t="str"/>
      <x:c r="L74" s="20" t="str"/>
      <x:c r="M74" s="19" t="str">
        <x:v>PENDING</x:v>
      </x:c>
      <x:c r="N74" s="19" t="str"/>
      <x:c r="O74" s="19" t="str"/>
      <x:c r="P74" s="19" t="str"/>
      <x:c r="Q74" s="19" t="str">
        <x:v>PENDING</x:v>
      </x:c>
      <x:c r="R74" s="19" t="str">
        <x:v>PENDING</x:v>
      </x:c>
      <x:c r="S74" s="19" t="str">
        <x:v>PENDING</x:v>
      </x:c>
      <x:c r="T74" s="19" t="str">
        <x:f>IF(AND(E74&lt;&gt;"",F74&lt;&gt;"",G74&lt;&gt;"",H74&lt;&gt;"",I74&lt;&gt;"",K74&lt;&gt;"",L74&lt;&gt;"",M74="REACHABLE",N74&lt;&gt;"",O74&lt;&gt;"",Q74="PASS",R74="PASS",S74="PASS"),"READY","PENDING")</x:f>
        <x:v>PENDING</x:v>
      </x:c>
      <x:c r="U74" s="19" t="str"/>
    </x:row>
    <x:row r="75">
      <x:c r="A75" s="17" t="str">
        <x:v>HO-HUM-PORTFOLIO-AGENCY-04</x:v>
      </x:c>
      <x:c r="B75" s="17" t="str">
        <x:v>HUMAN</x:v>
      </x:c>
      <x:c r="C75" s="17" t="str">
        <x:v>HUMAN_PORTFOLIO_AGENCY</x:v>
      </x:c>
      <x:c r="D75" s="17" t="str"/>
      <x:c r="E75" s="19" t="str">
        <x:v>Portfolio/agency</x:v>
      </x:c>
      <x:c r="F75" s="19" t="str"/>
      <x:c r="G75" s="19" t="str"/>
      <x:c r="H75" s="19" t="str"/>
      <x:c r="I75" s="19" t="str"/>
      <x:c r="J75" s="20" t="str"/>
      <x:c r="K75" s="20" t="str"/>
      <x:c r="L75" s="20" t="str"/>
      <x:c r="M75" s="19" t="str">
        <x:v>PENDING</x:v>
      </x:c>
      <x:c r="N75" s="19" t="str"/>
      <x:c r="O75" s="19" t="str"/>
      <x:c r="P75" s="19" t="str"/>
      <x:c r="Q75" s="19" t="str">
        <x:v>PENDING</x:v>
      </x:c>
      <x:c r="R75" s="19" t="str">
        <x:v>PENDING</x:v>
      </x:c>
      <x:c r="S75" s="19" t="str">
        <x:v>PENDING</x:v>
      </x:c>
      <x:c r="T75" s="19" t="str">
        <x:f>IF(AND(E75&lt;&gt;"",F75&lt;&gt;"",G75&lt;&gt;"",H75&lt;&gt;"",I75&lt;&gt;"",K75&lt;&gt;"",L75&lt;&gt;"",M75="REACHABLE",N75&lt;&gt;"",O75&lt;&gt;"",Q75="PASS",R75="PASS",S75="PASS"),"READY","PENDING")</x:f>
        <x:v>PENDING</x:v>
      </x:c>
      <x:c r="U75" s="19" t="str"/>
    </x:row>
    <x:row r="76">
      <x:c r="A76" s="17" t="str">
        <x:v>HO-HUM-PORTFOLIO-AGENCY-05</x:v>
      </x:c>
      <x:c r="B76" s="17" t="str">
        <x:v>HUMAN</x:v>
      </x:c>
      <x:c r="C76" s="17" t="str">
        <x:v>HUMAN_PORTFOLIO_AGENCY</x:v>
      </x:c>
      <x:c r="D76" s="17" t="str"/>
      <x:c r="E76" s="19" t="str">
        <x:v>Portfolio/agency</x:v>
      </x:c>
      <x:c r="F76" s="19" t="str"/>
      <x:c r="G76" s="19" t="str"/>
      <x:c r="H76" s="19" t="str"/>
      <x:c r="I76" s="19" t="str"/>
      <x:c r="J76" s="20" t="str"/>
      <x:c r="K76" s="20" t="str"/>
      <x:c r="L76" s="20" t="str"/>
      <x:c r="M76" s="19" t="str">
        <x:v>PENDING</x:v>
      </x:c>
      <x:c r="N76" s="19" t="str"/>
      <x:c r="O76" s="19" t="str"/>
      <x:c r="P76" s="19" t="str"/>
      <x:c r="Q76" s="19" t="str">
        <x:v>PENDING</x:v>
      </x:c>
      <x:c r="R76" s="19" t="str">
        <x:v>PENDING</x:v>
      </x:c>
      <x:c r="S76" s="19" t="str">
        <x:v>PENDING</x:v>
      </x:c>
      <x:c r="T76" s="19" t="str">
        <x:f>IF(AND(E76&lt;&gt;"",F76&lt;&gt;"",G76&lt;&gt;"",H76&lt;&gt;"",I76&lt;&gt;"",K76&lt;&gt;"",L76&lt;&gt;"",M76="REACHABLE",N76&lt;&gt;"",O76&lt;&gt;"",Q76="PASS",R76="PASS",S76="PASS"),"READY","PENDING")</x:f>
        <x:v>PENDING</x:v>
      </x:c>
      <x:c r="U76" s="19" t="str"/>
    </x:row>
    <x:row r="77">
      <x:c r="A77" s="17" t="str">
        <x:v>HO-HUM-PORTFOLIO-AGENCY-06</x:v>
      </x:c>
      <x:c r="B77" s="17" t="str">
        <x:v>HUMAN</x:v>
      </x:c>
      <x:c r="C77" s="17" t="str">
        <x:v>HUMAN_PORTFOLIO_AGENCY</x:v>
      </x:c>
      <x:c r="D77" s="17" t="str"/>
      <x:c r="E77" s="19" t="str">
        <x:v>Portfolio/agency</x:v>
      </x:c>
      <x:c r="F77" s="19" t="str"/>
      <x:c r="G77" s="19" t="str"/>
      <x:c r="H77" s="19" t="str"/>
      <x:c r="I77" s="19" t="str"/>
      <x:c r="J77" s="20" t="str"/>
      <x:c r="K77" s="20" t="str"/>
      <x:c r="L77" s="20" t="str"/>
      <x:c r="M77" s="19" t="str">
        <x:v>PENDING</x:v>
      </x:c>
      <x:c r="N77" s="19" t="str"/>
      <x:c r="O77" s="19" t="str"/>
      <x:c r="P77" s="19" t="str"/>
      <x:c r="Q77" s="19" t="str">
        <x:v>PENDING</x:v>
      </x:c>
      <x:c r="R77" s="19" t="str">
        <x:v>PENDING</x:v>
      </x:c>
      <x:c r="S77" s="19" t="str">
        <x:v>PENDING</x:v>
      </x:c>
      <x:c r="T77" s="19" t="str">
        <x:f>IF(AND(E77&lt;&gt;"",F77&lt;&gt;"",G77&lt;&gt;"",H77&lt;&gt;"",I77&lt;&gt;"",K77&lt;&gt;"",L77&lt;&gt;"",M77="REACHABLE",N77&lt;&gt;"",O77&lt;&gt;"",Q77="PASS",R77="PASS",S77="PASS"),"READY","PENDING")</x:f>
        <x:v>PENDING</x:v>
      </x:c>
      <x:c r="U77" s="19" t="str"/>
    </x:row>
    <x:row r="78">
      <x:c r="A78" s="17" t="str">
        <x:v>HO-HUM-PORTFOLIO-AGENCY-07</x:v>
      </x:c>
      <x:c r="B78" s="17" t="str">
        <x:v>HUMAN</x:v>
      </x:c>
      <x:c r="C78" s="17" t="str">
        <x:v>HUMAN_PORTFOLIO_AGENCY</x:v>
      </x:c>
      <x:c r="D78" s="17" t="str"/>
      <x:c r="E78" s="19" t="str">
        <x:v>Portfolio/agency</x:v>
      </x:c>
      <x:c r="F78" s="19" t="str"/>
      <x:c r="G78" s="19" t="str"/>
      <x:c r="H78" s="19" t="str"/>
      <x:c r="I78" s="19" t="str"/>
      <x:c r="J78" s="20" t="str"/>
      <x:c r="K78" s="20" t="str"/>
      <x:c r="L78" s="20" t="str"/>
      <x:c r="M78" s="19" t="str">
        <x:v>PENDING</x:v>
      </x:c>
      <x:c r="N78" s="19" t="str"/>
      <x:c r="O78" s="19" t="str"/>
      <x:c r="P78" s="19" t="str"/>
      <x:c r="Q78" s="19" t="str">
        <x:v>PENDING</x:v>
      </x:c>
      <x:c r="R78" s="19" t="str">
        <x:v>PENDING</x:v>
      </x:c>
      <x:c r="S78" s="19" t="str">
        <x:v>PENDING</x:v>
      </x:c>
      <x:c r="T78" s="19" t="str">
        <x:f>IF(AND(E78&lt;&gt;"",F78&lt;&gt;"",G78&lt;&gt;"",H78&lt;&gt;"",I78&lt;&gt;"",K78&lt;&gt;"",L78&lt;&gt;"",M78="REACHABLE",N78&lt;&gt;"",O78&lt;&gt;"",Q78="PASS",R78="PASS",S78="PASS"),"READY","PENDING")</x:f>
        <x:v>PENDING</x:v>
      </x:c>
      <x:c r="U78" s="19" t="str"/>
    </x:row>
    <x:row r="79">
      <x:c r="A79" s="17" t="str">
        <x:v>HO-HUM-PORTFOLIO-AGENCY-08</x:v>
      </x:c>
      <x:c r="B79" s="17" t="str">
        <x:v>HUMAN</x:v>
      </x:c>
      <x:c r="C79" s="17" t="str">
        <x:v>HUMAN_PORTFOLIO_AGENCY</x:v>
      </x:c>
      <x:c r="D79" s="17" t="str"/>
      <x:c r="E79" s="19" t="str">
        <x:v>Portfolio/agency</x:v>
      </x:c>
      <x:c r="F79" s="19" t="str"/>
      <x:c r="G79" s="19" t="str"/>
      <x:c r="H79" s="19" t="str"/>
      <x:c r="I79" s="19" t="str"/>
      <x:c r="J79" s="20" t="str"/>
      <x:c r="K79" s="20" t="str"/>
      <x:c r="L79" s="20" t="str"/>
      <x:c r="M79" s="19" t="str">
        <x:v>PENDING</x:v>
      </x:c>
      <x:c r="N79" s="19" t="str"/>
      <x:c r="O79" s="19" t="str"/>
      <x:c r="P79" s="19" t="str"/>
      <x:c r="Q79" s="19" t="str">
        <x:v>PENDING</x:v>
      </x:c>
      <x:c r="R79" s="19" t="str">
        <x:v>PENDING</x:v>
      </x:c>
      <x:c r="S79" s="19" t="str">
        <x:v>PENDING</x:v>
      </x:c>
      <x:c r="T79" s="19" t="str">
        <x:f>IF(AND(E79&lt;&gt;"",F79&lt;&gt;"",G79&lt;&gt;"",H79&lt;&gt;"",I79&lt;&gt;"",K79&lt;&gt;"",L79&lt;&gt;"",M79="REACHABLE",N79&lt;&gt;"",O79&lt;&gt;"",Q79="PASS",R79="PASS",S79="PASS"),"READY","PENDING")</x:f>
        <x:v>PENDING</x:v>
      </x:c>
      <x:c r="U79" s="19" t="str"/>
    </x:row>
    <x:row r="80">
      <x:c r="A80" s="17" t="str">
        <x:v>HO-HUM-PORTFOLIO-AGENCY-09</x:v>
      </x:c>
      <x:c r="B80" s="17" t="str">
        <x:v>HUMAN</x:v>
      </x:c>
      <x:c r="C80" s="17" t="str">
        <x:v>HUMAN_PORTFOLIO_AGENCY</x:v>
      </x:c>
      <x:c r="D80" s="17" t="str"/>
      <x:c r="E80" s="19" t="str">
        <x:v>Portfolio/agency</x:v>
      </x:c>
      <x:c r="F80" s="19" t="str"/>
      <x:c r="G80" s="19" t="str"/>
      <x:c r="H80" s="19" t="str"/>
      <x:c r="I80" s="19" t="str"/>
      <x:c r="J80" s="20" t="str"/>
      <x:c r="K80" s="20" t="str"/>
      <x:c r="L80" s="20" t="str"/>
      <x:c r="M80" s="19" t="str">
        <x:v>PENDING</x:v>
      </x:c>
      <x:c r="N80" s="19" t="str"/>
      <x:c r="O80" s="19" t="str"/>
      <x:c r="P80" s="19" t="str"/>
      <x:c r="Q80" s="19" t="str">
        <x:v>PENDING</x:v>
      </x:c>
      <x:c r="R80" s="19" t="str">
        <x:v>PENDING</x:v>
      </x:c>
      <x:c r="S80" s="19" t="str">
        <x:v>PENDING</x:v>
      </x:c>
      <x:c r="T80" s="19" t="str">
        <x:f>IF(AND(E80&lt;&gt;"",F80&lt;&gt;"",G80&lt;&gt;"",H80&lt;&gt;"",I80&lt;&gt;"",K80&lt;&gt;"",L80&lt;&gt;"",M80="REACHABLE",N80&lt;&gt;"",O80&lt;&gt;"",Q80="PASS",R80="PASS",S80="PASS"),"READY","PENDING")</x:f>
        <x:v>PENDING</x:v>
      </x:c>
      <x:c r="U80" s="19" t="str"/>
    </x:row>
    <x:row r="81">
      <x:c r="A81" s="17" t="str">
        <x:v>HO-HUM-PORTFOLIO-AGENCY-10</x:v>
      </x:c>
      <x:c r="B81" s="17" t="str">
        <x:v>HUMAN</x:v>
      </x:c>
      <x:c r="C81" s="17" t="str">
        <x:v>HUMAN_PORTFOLIO_AGENCY</x:v>
      </x:c>
      <x:c r="D81" s="17" t="str"/>
      <x:c r="E81" s="19" t="str">
        <x:v>Portfolio/agency</x:v>
      </x:c>
      <x:c r="F81" s="19" t="str"/>
      <x:c r="G81" s="19" t="str"/>
      <x:c r="H81" s="19" t="str"/>
      <x:c r="I81" s="19" t="str"/>
      <x:c r="J81" s="20" t="str"/>
      <x:c r="K81" s="20" t="str"/>
      <x:c r="L81" s="20" t="str"/>
      <x:c r="M81" s="19" t="str">
        <x:v>PENDING</x:v>
      </x:c>
      <x:c r="N81" s="19" t="str"/>
      <x:c r="O81" s="19" t="str"/>
      <x:c r="P81" s="19" t="str"/>
      <x:c r="Q81" s="19" t="str">
        <x:v>PENDING</x:v>
      </x:c>
      <x:c r="R81" s="19" t="str">
        <x:v>PENDING</x:v>
      </x:c>
      <x:c r="S81" s="19" t="str">
        <x:v>PENDING</x:v>
      </x:c>
      <x:c r="T81" s="19" t="str">
        <x:f>IF(AND(E81&lt;&gt;"",F81&lt;&gt;"",G81&lt;&gt;"",H81&lt;&gt;"",I81&lt;&gt;"",K81&lt;&gt;"",L81&lt;&gt;"",M81="REACHABLE",N81&lt;&gt;"",O81&lt;&gt;"",Q81="PASS",R81="PASS",S81="PASS"),"READY","PENDING")</x:f>
        <x:v>PENDING</x:v>
      </x:c>
      <x:c r="U81" s="19" t="str"/>
    </x:row>
    <x:row r="82">
      <x:c r="A82" s="17" t="str">
        <x:v>HO-HUM-CONTENT-DOCS-01</x:v>
      </x:c>
      <x:c r="B82" s="17" t="str">
        <x:v>HUMAN</x:v>
      </x:c>
      <x:c r="C82" s="17" t="str">
        <x:v>HUMAN_CONTENT_DOCS</x:v>
      </x:c>
      <x:c r="D82" s="17" t="str"/>
      <x:c r="E82" s="19" t="str">
        <x:v>Content/docs</x:v>
      </x:c>
      <x:c r="F82" s="19" t="str"/>
      <x:c r="G82" s="19" t="str"/>
      <x:c r="H82" s="19" t="str"/>
      <x:c r="I82" s="19" t="str"/>
      <x:c r="J82" s="20" t="str"/>
      <x:c r="K82" s="20" t="str"/>
      <x:c r="L82" s="20" t="str"/>
      <x:c r="M82" s="19" t="str">
        <x:v>PENDING</x:v>
      </x:c>
      <x:c r="N82" s="19" t="str"/>
      <x:c r="O82" s="19" t="str"/>
      <x:c r="P82" s="19" t="str"/>
      <x:c r="Q82" s="19" t="str">
        <x:v>PENDING</x:v>
      </x:c>
      <x:c r="R82" s="19" t="str">
        <x:v>PENDING</x:v>
      </x:c>
      <x:c r="S82" s="19" t="str">
        <x:v>PENDING</x:v>
      </x:c>
      <x:c r="T82" s="19" t="str">
        <x:f>IF(AND(E82&lt;&gt;"",F82&lt;&gt;"",G82&lt;&gt;"",H82&lt;&gt;"",I82&lt;&gt;"",K82&lt;&gt;"",L82&lt;&gt;"",M82="REACHABLE",N82&lt;&gt;"",O82&lt;&gt;"",Q82="PASS",R82="PASS",S82="PASS"),"READY","PENDING")</x:f>
        <x:v>PENDING</x:v>
      </x:c>
      <x:c r="U82" s="19" t="str"/>
    </x:row>
    <x:row r="83">
      <x:c r="A83" s="17" t="str">
        <x:v>HO-HUM-CONTENT-DOCS-02</x:v>
      </x:c>
      <x:c r="B83" s="17" t="str">
        <x:v>HUMAN</x:v>
      </x:c>
      <x:c r="C83" s="17" t="str">
        <x:v>HUMAN_CONTENT_DOCS</x:v>
      </x:c>
      <x:c r="D83" s="17" t="str"/>
      <x:c r="E83" s="19" t="str">
        <x:v>Content/docs</x:v>
      </x:c>
      <x:c r="F83" s="19" t="str"/>
      <x:c r="G83" s="19" t="str"/>
      <x:c r="H83" s="19" t="str"/>
      <x:c r="I83" s="19" t="str"/>
      <x:c r="J83" s="20" t="str"/>
      <x:c r="K83" s="20" t="str"/>
      <x:c r="L83" s="20" t="str"/>
      <x:c r="M83" s="19" t="str">
        <x:v>PENDING</x:v>
      </x:c>
      <x:c r="N83" s="19" t="str"/>
      <x:c r="O83" s="19" t="str"/>
      <x:c r="P83" s="19" t="str"/>
      <x:c r="Q83" s="19" t="str">
        <x:v>PENDING</x:v>
      </x:c>
      <x:c r="R83" s="19" t="str">
        <x:v>PENDING</x:v>
      </x:c>
      <x:c r="S83" s="19" t="str">
        <x:v>PENDING</x:v>
      </x:c>
      <x:c r="T83" s="19" t="str">
        <x:f>IF(AND(E83&lt;&gt;"",F83&lt;&gt;"",G83&lt;&gt;"",H83&lt;&gt;"",I83&lt;&gt;"",K83&lt;&gt;"",L83&lt;&gt;"",M83="REACHABLE",N83&lt;&gt;"",O83&lt;&gt;"",Q83="PASS",R83="PASS",S83="PASS"),"READY","PENDING")</x:f>
        <x:v>PENDING</x:v>
      </x:c>
      <x:c r="U83" s="19" t="str"/>
    </x:row>
    <x:row r="84">
      <x:c r="A84" s="17" t="str">
        <x:v>HO-HUM-CONTENT-DOCS-03</x:v>
      </x:c>
      <x:c r="B84" s="17" t="str">
        <x:v>HUMAN</x:v>
      </x:c>
      <x:c r="C84" s="17" t="str">
        <x:v>HUMAN_CONTENT_DOCS</x:v>
      </x:c>
      <x:c r="D84" s="17" t="str"/>
      <x:c r="E84" s="19" t="str">
        <x:v>Content/docs</x:v>
      </x:c>
      <x:c r="F84" s="19" t="str"/>
      <x:c r="G84" s="19" t="str"/>
      <x:c r="H84" s="19" t="str"/>
      <x:c r="I84" s="19" t="str"/>
      <x:c r="J84" s="20" t="str"/>
      <x:c r="K84" s="20" t="str"/>
      <x:c r="L84" s="20" t="str"/>
      <x:c r="M84" s="19" t="str">
        <x:v>PENDING</x:v>
      </x:c>
      <x:c r="N84" s="19" t="str"/>
      <x:c r="O84" s="19" t="str"/>
      <x:c r="P84" s="19" t="str"/>
      <x:c r="Q84" s="19" t="str">
        <x:v>PENDING</x:v>
      </x:c>
      <x:c r="R84" s="19" t="str">
        <x:v>PENDING</x:v>
      </x:c>
      <x:c r="S84" s="19" t="str">
        <x:v>PENDING</x:v>
      </x:c>
      <x:c r="T84" s="19" t="str">
        <x:f>IF(AND(E84&lt;&gt;"",F84&lt;&gt;"",G84&lt;&gt;"",H84&lt;&gt;"",I84&lt;&gt;"",K84&lt;&gt;"",L84&lt;&gt;"",M84="REACHABLE",N84&lt;&gt;"",O84&lt;&gt;"",Q84="PASS",R84="PASS",S84="PASS"),"READY","PENDING")</x:f>
        <x:v>PENDING</x:v>
      </x:c>
      <x:c r="U84" s="19" t="str"/>
    </x:row>
    <x:row r="85">
      <x:c r="A85" s="17" t="str">
        <x:v>HO-HUM-CONTENT-DOCS-04</x:v>
      </x:c>
      <x:c r="B85" s="17" t="str">
        <x:v>HUMAN</x:v>
      </x:c>
      <x:c r="C85" s="17" t="str">
        <x:v>HUMAN_CONTENT_DOCS</x:v>
      </x:c>
      <x:c r="D85" s="17" t="str"/>
      <x:c r="E85" s="19" t="str">
        <x:v>Content/docs</x:v>
      </x:c>
      <x:c r="F85" s="19" t="str"/>
      <x:c r="G85" s="19" t="str"/>
      <x:c r="H85" s="19" t="str"/>
      <x:c r="I85" s="19" t="str"/>
      <x:c r="J85" s="20" t="str"/>
      <x:c r="K85" s="20" t="str"/>
      <x:c r="L85" s="20" t="str"/>
      <x:c r="M85" s="19" t="str">
        <x:v>PENDING</x:v>
      </x:c>
      <x:c r="N85" s="19" t="str"/>
      <x:c r="O85" s="19" t="str"/>
      <x:c r="P85" s="19" t="str"/>
      <x:c r="Q85" s="19" t="str">
        <x:v>PENDING</x:v>
      </x:c>
      <x:c r="R85" s="19" t="str">
        <x:v>PENDING</x:v>
      </x:c>
      <x:c r="S85" s="19" t="str">
        <x:v>PENDING</x:v>
      </x:c>
      <x:c r="T85" s="19" t="str">
        <x:f>IF(AND(E85&lt;&gt;"",F85&lt;&gt;"",G85&lt;&gt;"",H85&lt;&gt;"",I85&lt;&gt;"",K85&lt;&gt;"",L85&lt;&gt;"",M85="REACHABLE",N85&lt;&gt;"",O85&lt;&gt;"",Q85="PASS",R85="PASS",S85="PASS"),"READY","PENDING")</x:f>
        <x:v>PENDING</x:v>
      </x:c>
      <x:c r="U85" s="19" t="str"/>
    </x:row>
    <x:row r="86">
      <x:c r="A86" s="17" t="str">
        <x:v>HO-HUM-CONTENT-DOCS-05</x:v>
      </x:c>
      <x:c r="B86" s="17" t="str">
        <x:v>HUMAN</x:v>
      </x:c>
      <x:c r="C86" s="17" t="str">
        <x:v>HUMAN_CONTENT_DOCS</x:v>
      </x:c>
      <x:c r="D86" s="17" t="str"/>
      <x:c r="E86" s="19" t="str">
        <x:v>Content/docs</x:v>
      </x:c>
      <x:c r="F86" s="19" t="str"/>
      <x:c r="G86" s="19" t="str"/>
      <x:c r="H86" s="19" t="str"/>
      <x:c r="I86" s="19" t="str"/>
      <x:c r="J86" s="20" t="str"/>
      <x:c r="K86" s="20" t="str"/>
      <x:c r="L86" s="20" t="str"/>
      <x:c r="M86" s="19" t="str">
        <x:v>PENDING</x:v>
      </x:c>
      <x:c r="N86" s="19" t="str"/>
      <x:c r="O86" s="19" t="str"/>
      <x:c r="P86" s="19" t="str"/>
      <x:c r="Q86" s="19" t="str">
        <x:v>PENDING</x:v>
      </x:c>
      <x:c r="R86" s="19" t="str">
        <x:v>PENDING</x:v>
      </x:c>
      <x:c r="S86" s="19" t="str">
        <x:v>PENDING</x:v>
      </x:c>
      <x:c r="T86" s="19" t="str">
        <x:f>IF(AND(E86&lt;&gt;"",F86&lt;&gt;"",G86&lt;&gt;"",H86&lt;&gt;"",I86&lt;&gt;"",K86&lt;&gt;"",L86&lt;&gt;"",M86="REACHABLE",N86&lt;&gt;"",O86&lt;&gt;"",Q86="PASS",R86="PASS",S86="PASS"),"READY","PENDING")</x:f>
        <x:v>PENDING</x:v>
      </x:c>
      <x:c r="U86" s="19" t="str"/>
    </x:row>
    <x:row r="87">
      <x:c r="A87" s="17" t="str">
        <x:v>HO-HUM-CONTENT-DOCS-06</x:v>
      </x:c>
      <x:c r="B87" s="17" t="str">
        <x:v>HUMAN</x:v>
      </x:c>
      <x:c r="C87" s="17" t="str">
        <x:v>HUMAN_CONTENT_DOCS</x:v>
      </x:c>
      <x:c r="D87" s="17" t="str"/>
      <x:c r="E87" s="19" t="str">
        <x:v>Content/docs</x:v>
      </x:c>
      <x:c r="F87" s="19" t="str"/>
      <x:c r="G87" s="19" t="str"/>
      <x:c r="H87" s="19" t="str"/>
      <x:c r="I87" s="19" t="str"/>
      <x:c r="J87" s="20" t="str"/>
      <x:c r="K87" s="20" t="str"/>
      <x:c r="L87" s="20" t="str"/>
      <x:c r="M87" s="19" t="str">
        <x:v>PENDING</x:v>
      </x:c>
      <x:c r="N87" s="19" t="str"/>
      <x:c r="O87" s="19" t="str"/>
      <x:c r="P87" s="19" t="str"/>
      <x:c r="Q87" s="19" t="str">
        <x:v>PENDING</x:v>
      </x:c>
      <x:c r="R87" s="19" t="str">
        <x:v>PENDING</x:v>
      </x:c>
      <x:c r="S87" s="19" t="str">
        <x:v>PENDING</x:v>
      </x:c>
      <x:c r="T87" s="19" t="str">
        <x:f>IF(AND(E87&lt;&gt;"",F87&lt;&gt;"",G87&lt;&gt;"",H87&lt;&gt;"",I87&lt;&gt;"",K87&lt;&gt;"",L87&lt;&gt;"",M87="REACHABLE",N87&lt;&gt;"",O87&lt;&gt;"",Q87="PASS",R87="PASS",S87="PASS"),"READY","PENDING")</x:f>
        <x:v>PENDING</x:v>
      </x:c>
      <x:c r="U87" s="19" t="str"/>
    </x:row>
    <x:row r="88">
      <x:c r="A88" s="17" t="str">
        <x:v>HO-HUM-CONTENT-DOCS-07</x:v>
      </x:c>
      <x:c r="B88" s="17" t="str">
        <x:v>HUMAN</x:v>
      </x:c>
      <x:c r="C88" s="17" t="str">
        <x:v>HUMAN_CONTENT_DOCS</x:v>
      </x:c>
      <x:c r="D88" s="17" t="str"/>
      <x:c r="E88" s="19" t="str">
        <x:v>Content/docs</x:v>
      </x:c>
      <x:c r="F88" s="19" t="str"/>
      <x:c r="G88" s="19" t="str"/>
      <x:c r="H88" s="19" t="str"/>
      <x:c r="I88" s="19" t="str"/>
      <x:c r="J88" s="20" t="str"/>
      <x:c r="K88" s="20" t="str"/>
      <x:c r="L88" s="20" t="str"/>
      <x:c r="M88" s="19" t="str">
        <x:v>PENDING</x:v>
      </x:c>
      <x:c r="N88" s="19" t="str"/>
      <x:c r="O88" s="19" t="str"/>
      <x:c r="P88" s="19" t="str"/>
      <x:c r="Q88" s="19" t="str">
        <x:v>PENDING</x:v>
      </x:c>
      <x:c r="R88" s="19" t="str">
        <x:v>PENDING</x:v>
      </x:c>
      <x:c r="S88" s="19" t="str">
        <x:v>PENDING</x:v>
      </x:c>
      <x:c r="T88" s="19" t="str">
        <x:f>IF(AND(E88&lt;&gt;"",F88&lt;&gt;"",G88&lt;&gt;"",H88&lt;&gt;"",I88&lt;&gt;"",K88&lt;&gt;"",L88&lt;&gt;"",M88="REACHABLE",N88&lt;&gt;"",O88&lt;&gt;"",Q88="PASS",R88="PASS",S88="PASS"),"READY","PENDING")</x:f>
        <x:v>PENDING</x:v>
      </x:c>
      <x:c r="U88" s="19" t="str"/>
    </x:row>
    <x:row r="89">
      <x:c r="A89" s="17" t="str">
        <x:v>HO-HUM-CONTENT-DOCS-08</x:v>
      </x:c>
      <x:c r="B89" s="17" t="str">
        <x:v>HUMAN</x:v>
      </x:c>
      <x:c r="C89" s="17" t="str">
        <x:v>HUMAN_CONTENT_DOCS</x:v>
      </x:c>
      <x:c r="D89" s="17" t="str"/>
      <x:c r="E89" s="19" t="str">
        <x:v>Content/docs</x:v>
      </x:c>
      <x:c r="F89" s="19" t="str"/>
      <x:c r="G89" s="19" t="str"/>
      <x:c r="H89" s="19" t="str"/>
      <x:c r="I89" s="19" t="str"/>
      <x:c r="J89" s="20" t="str"/>
      <x:c r="K89" s="20" t="str"/>
      <x:c r="L89" s="20" t="str"/>
      <x:c r="M89" s="19" t="str">
        <x:v>PENDING</x:v>
      </x:c>
      <x:c r="N89" s="19" t="str"/>
      <x:c r="O89" s="19" t="str"/>
      <x:c r="P89" s="19" t="str"/>
      <x:c r="Q89" s="19" t="str">
        <x:v>PENDING</x:v>
      </x:c>
      <x:c r="R89" s="19" t="str">
        <x:v>PENDING</x:v>
      </x:c>
      <x:c r="S89" s="19" t="str">
        <x:v>PENDING</x:v>
      </x:c>
      <x:c r="T89" s="19" t="str">
        <x:f>IF(AND(E89&lt;&gt;"",F89&lt;&gt;"",G89&lt;&gt;"",H89&lt;&gt;"",I89&lt;&gt;"",K89&lt;&gt;"",L89&lt;&gt;"",M89="REACHABLE",N89&lt;&gt;"",O89&lt;&gt;"",Q89="PASS",R89="PASS",S89="PASS"),"READY","PENDING")</x:f>
        <x:v>PENDING</x:v>
      </x:c>
      <x:c r="U89" s="19" t="str"/>
    </x:row>
    <x:row r="90">
      <x:c r="A90" s="17" t="str">
        <x:v>HO-HUM-CONTENT-DOCS-09</x:v>
      </x:c>
      <x:c r="B90" s="17" t="str">
        <x:v>HUMAN</x:v>
      </x:c>
      <x:c r="C90" s="17" t="str">
        <x:v>HUMAN_CONTENT_DOCS</x:v>
      </x:c>
      <x:c r="D90" s="17" t="str"/>
      <x:c r="E90" s="19" t="str">
        <x:v>Content/docs</x:v>
      </x:c>
      <x:c r="F90" s="19" t="str"/>
      <x:c r="G90" s="19" t="str"/>
      <x:c r="H90" s="19" t="str"/>
      <x:c r="I90" s="19" t="str"/>
      <x:c r="J90" s="20" t="str"/>
      <x:c r="K90" s="20" t="str"/>
      <x:c r="L90" s="20" t="str"/>
      <x:c r="M90" s="19" t="str">
        <x:v>PENDING</x:v>
      </x:c>
      <x:c r="N90" s="19" t="str"/>
      <x:c r="O90" s="19" t="str"/>
      <x:c r="P90" s="19" t="str"/>
      <x:c r="Q90" s="19" t="str">
        <x:v>PENDING</x:v>
      </x:c>
      <x:c r="R90" s="19" t="str">
        <x:v>PENDING</x:v>
      </x:c>
      <x:c r="S90" s="19" t="str">
        <x:v>PENDING</x:v>
      </x:c>
      <x:c r="T90" s="19" t="str">
        <x:f>IF(AND(E90&lt;&gt;"",F90&lt;&gt;"",G90&lt;&gt;"",H90&lt;&gt;"",I90&lt;&gt;"",K90&lt;&gt;"",L90&lt;&gt;"",M90="REACHABLE",N90&lt;&gt;"",O90&lt;&gt;"",Q90="PASS",R90="PASS",S90="PASS"),"READY","PENDING")</x:f>
        <x:v>PENDING</x:v>
      </x:c>
      <x:c r="U90" s="19" t="str"/>
    </x:row>
    <x:row r="91">
      <x:c r="A91" s="17" t="str">
        <x:v>HO-HUM-CONTENT-DOCS-10</x:v>
      </x:c>
      <x:c r="B91" s="17" t="str">
        <x:v>HUMAN</x:v>
      </x:c>
      <x:c r="C91" s="17" t="str">
        <x:v>HUMAN_CONTENT_DOCS</x:v>
      </x:c>
      <x:c r="D91" s="17" t="str"/>
      <x:c r="E91" s="19" t="str">
        <x:v>Content/docs</x:v>
      </x:c>
      <x:c r="F91" s="19" t="str"/>
      <x:c r="G91" s="19" t="str"/>
      <x:c r="H91" s="19" t="str"/>
      <x:c r="I91" s="19" t="str"/>
      <x:c r="J91" s="20" t="str"/>
      <x:c r="K91" s="20" t="str"/>
      <x:c r="L91" s="20" t="str"/>
      <x:c r="M91" s="19" t="str">
        <x:v>PENDING</x:v>
      </x:c>
      <x:c r="N91" s="19" t="str"/>
      <x:c r="O91" s="19" t="str"/>
      <x:c r="P91" s="19" t="str"/>
      <x:c r="Q91" s="19" t="str">
        <x:v>PENDING</x:v>
      </x:c>
      <x:c r="R91" s="19" t="str">
        <x:v>PENDING</x:v>
      </x:c>
      <x:c r="S91" s="19" t="str">
        <x:v>PENDING</x:v>
      </x:c>
      <x:c r="T91" s="19" t="str">
        <x:f>IF(AND(E91&lt;&gt;"",F91&lt;&gt;"",G91&lt;&gt;"",H91&lt;&gt;"",I91&lt;&gt;"",K91&lt;&gt;"",L91&lt;&gt;"",M91="REACHABLE",N91&lt;&gt;"",O91&lt;&gt;"",Q91="PASS",R91="PASS",S91="PASS"),"READY","PENDING")</x:f>
        <x:v>PENDING</x:v>
      </x:c>
      <x:c r="U91" s="19" t="str"/>
    </x:row>
    <x:row r="92">
      <x:c r="A92" s="17" t="str">
        <x:v>HO-HUM-PRE-AI-SNAPSHOT-01</x:v>
      </x:c>
      <x:c r="B92" s="17" t="str">
        <x:v>HUMAN</x:v>
      </x:c>
      <x:c r="C92" s="17" t="str">
        <x:v>HUMAN_PRE_AI_SNAPSHOT</x:v>
      </x:c>
      <x:c r="D92" s="17" t="str"/>
      <x:c r="E92" s="19" t="str">
        <x:v>Pre-AI snapshot</x:v>
      </x:c>
      <x:c r="F92" s="19" t="str"/>
      <x:c r="G92" s="19" t="str"/>
      <x:c r="H92" s="19" t="str"/>
      <x:c r="I92" s="19" t="str"/>
      <x:c r="J92" s="20" t="str"/>
      <x:c r="K92" s="20" t="str"/>
      <x:c r="L92" s="20" t="str"/>
      <x:c r="M92" s="19" t="str">
        <x:v>PENDING</x:v>
      </x:c>
      <x:c r="N92" s="19" t="str"/>
      <x:c r="O92" s="19" t="str"/>
      <x:c r="P92" s="19" t="str"/>
      <x:c r="Q92" s="19" t="str">
        <x:v>PENDING</x:v>
      </x:c>
      <x:c r="R92" s="19" t="str">
        <x:v>PENDING</x:v>
      </x:c>
      <x:c r="S92" s="19" t="str">
        <x:v>PENDING</x:v>
      </x:c>
      <x:c r="T92" s="19" t="str">
        <x:f>IF(AND(E92&lt;&gt;"",F92&lt;&gt;"",G92&lt;&gt;"",H92&lt;&gt;"",I92&lt;&gt;"",K92&lt;&gt;"",L92&lt;&gt;"",M92="REACHABLE",N92&lt;&gt;"",O92&lt;&gt;"",Q92="PASS",R92="PASS",S92="PASS"),"READY","PENDING")</x:f>
        <x:v>PENDING</x:v>
      </x:c>
      <x:c r="U92" s="19" t="str"/>
    </x:row>
    <x:row r="93">
      <x:c r="A93" s="17" t="str">
        <x:v>HO-HUM-PRE-AI-SNAPSHOT-02</x:v>
      </x:c>
      <x:c r="B93" s="17" t="str">
        <x:v>HUMAN</x:v>
      </x:c>
      <x:c r="C93" s="17" t="str">
        <x:v>HUMAN_PRE_AI_SNAPSHOT</x:v>
      </x:c>
      <x:c r="D93" s="17" t="str"/>
      <x:c r="E93" s="19" t="str">
        <x:v>Pre-AI snapshot</x:v>
      </x:c>
      <x:c r="F93" s="19" t="str"/>
      <x:c r="G93" s="19" t="str"/>
      <x:c r="H93" s="19" t="str"/>
      <x:c r="I93" s="19" t="str"/>
      <x:c r="J93" s="20" t="str"/>
      <x:c r="K93" s="20" t="str"/>
      <x:c r="L93" s="20" t="str"/>
      <x:c r="M93" s="19" t="str">
        <x:v>PENDING</x:v>
      </x:c>
      <x:c r="N93" s="19" t="str"/>
      <x:c r="O93" s="19" t="str"/>
      <x:c r="P93" s="19" t="str"/>
      <x:c r="Q93" s="19" t="str">
        <x:v>PENDING</x:v>
      </x:c>
      <x:c r="R93" s="19" t="str">
        <x:v>PENDING</x:v>
      </x:c>
      <x:c r="S93" s="19" t="str">
        <x:v>PENDING</x:v>
      </x:c>
      <x:c r="T93" s="19" t="str">
        <x:f>IF(AND(E93&lt;&gt;"",F93&lt;&gt;"",G93&lt;&gt;"",H93&lt;&gt;"",I93&lt;&gt;"",K93&lt;&gt;"",L93&lt;&gt;"",M93="REACHABLE",N93&lt;&gt;"",O93&lt;&gt;"",Q93="PASS",R93="PASS",S93="PASS"),"READY","PENDING")</x:f>
        <x:v>PENDING</x:v>
      </x:c>
      <x:c r="U93" s="19" t="str"/>
    </x:row>
    <x:row r="94">
      <x:c r="A94" s="17" t="str">
        <x:v>HO-HUM-PRE-AI-SNAPSHOT-03</x:v>
      </x:c>
      <x:c r="B94" s="17" t="str">
        <x:v>HUMAN</x:v>
      </x:c>
      <x:c r="C94" s="17" t="str">
        <x:v>HUMAN_PRE_AI_SNAPSHOT</x:v>
      </x:c>
      <x:c r="D94" s="17" t="str"/>
      <x:c r="E94" s="19" t="str">
        <x:v>Pre-AI snapshot</x:v>
      </x:c>
      <x:c r="F94" s="19" t="str"/>
      <x:c r="G94" s="19" t="str"/>
      <x:c r="H94" s="19" t="str"/>
      <x:c r="I94" s="19" t="str"/>
      <x:c r="J94" s="20" t="str"/>
      <x:c r="K94" s="20" t="str"/>
      <x:c r="L94" s="20" t="str"/>
      <x:c r="M94" s="19" t="str">
        <x:v>PENDING</x:v>
      </x:c>
      <x:c r="N94" s="19" t="str"/>
      <x:c r="O94" s="19" t="str"/>
      <x:c r="P94" s="19" t="str"/>
      <x:c r="Q94" s="19" t="str">
        <x:v>PENDING</x:v>
      </x:c>
      <x:c r="R94" s="19" t="str">
        <x:v>PENDING</x:v>
      </x:c>
      <x:c r="S94" s="19" t="str">
        <x:v>PENDING</x:v>
      </x:c>
      <x:c r="T94" s="19" t="str">
        <x:f>IF(AND(E94&lt;&gt;"",F94&lt;&gt;"",G94&lt;&gt;"",H94&lt;&gt;"",I94&lt;&gt;"",K94&lt;&gt;"",L94&lt;&gt;"",M94="REACHABLE",N94&lt;&gt;"",O94&lt;&gt;"",Q94="PASS",R94="PASS",S94="PASS"),"READY","PENDING")</x:f>
        <x:v>PENDING</x:v>
      </x:c>
      <x:c r="U94" s="19" t="str"/>
    </x:row>
    <x:row r="95">
      <x:c r="A95" s="17" t="str">
        <x:v>HO-HUM-PRE-AI-SNAPSHOT-04</x:v>
      </x:c>
      <x:c r="B95" s="17" t="str">
        <x:v>HUMAN</x:v>
      </x:c>
      <x:c r="C95" s="17" t="str">
        <x:v>HUMAN_PRE_AI_SNAPSHOT</x:v>
      </x:c>
      <x:c r="D95" s="17" t="str"/>
      <x:c r="E95" s="19" t="str">
        <x:v>Pre-AI snapshot</x:v>
      </x:c>
      <x:c r="F95" s="19" t="str"/>
      <x:c r="G95" s="19" t="str"/>
      <x:c r="H95" s="19" t="str"/>
      <x:c r="I95" s="19" t="str"/>
      <x:c r="J95" s="20" t="str"/>
      <x:c r="K95" s="20" t="str"/>
      <x:c r="L95" s="20" t="str"/>
      <x:c r="M95" s="19" t="str">
        <x:v>PENDING</x:v>
      </x:c>
      <x:c r="N95" s="19" t="str"/>
      <x:c r="O95" s="19" t="str"/>
      <x:c r="P95" s="19" t="str"/>
      <x:c r="Q95" s="19" t="str">
        <x:v>PENDING</x:v>
      </x:c>
      <x:c r="R95" s="19" t="str">
        <x:v>PENDING</x:v>
      </x:c>
      <x:c r="S95" s="19" t="str">
        <x:v>PENDING</x:v>
      </x:c>
      <x:c r="T95" s="19" t="str">
        <x:f>IF(AND(E95&lt;&gt;"",F95&lt;&gt;"",G95&lt;&gt;"",H95&lt;&gt;"",I95&lt;&gt;"",K95&lt;&gt;"",L95&lt;&gt;"",M95="REACHABLE",N95&lt;&gt;"",O95&lt;&gt;"",Q95="PASS",R95="PASS",S95="PASS"),"READY","PENDING")</x:f>
        <x:v>PENDING</x:v>
      </x:c>
      <x:c r="U95" s="19" t="str"/>
    </x:row>
    <x:row r="96">
      <x:c r="A96" s="17" t="str">
        <x:v>HO-HUM-PRE-AI-SNAPSHOT-05</x:v>
      </x:c>
      <x:c r="B96" s="17" t="str">
        <x:v>HUMAN</x:v>
      </x:c>
      <x:c r="C96" s="17" t="str">
        <x:v>HUMAN_PRE_AI_SNAPSHOT</x:v>
      </x:c>
      <x:c r="D96" s="17" t="str"/>
      <x:c r="E96" s="19" t="str">
        <x:v>Pre-AI snapshot</x:v>
      </x:c>
      <x:c r="F96" s="19" t="str"/>
      <x:c r="G96" s="19" t="str"/>
      <x:c r="H96" s="19" t="str"/>
      <x:c r="I96" s="19" t="str"/>
      <x:c r="J96" s="20" t="str"/>
      <x:c r="K96" s="20" t="str"/>
      <x:c r="L96" s="20" t="str"/>
      <x:c r="M96" s="19" t="str">
        <x:v>PENDING</x:v>
      </x:c>
      <x:c r="N96" s="19" t="str"/>
      <x:c r="O96" s="19" t="str"/>
      <x:c r="P96" s="19" t="str"/>
      <x:c r="Q96" s="19" t="str">
        <x:v>PENDING</x:v>
      </x:c>
      <x:c r="R96" s="19" t="str">
        <x:v>PENDING</x:v>
      </x:c>
      <x:c r="S96" s="19" t="str">
        <x:v>PENDING</x:v>
      </x:c>
      <x:c r="T96" s="19" t="str">
        <x:f>IF(AND(E96&lt;&gt;"",F96&lt;&gt;"",G96&lt;&gt;"",H96&lt;&gt;"",I96&lt;&gt;"",K96&lt;&gt;"",L96&lt;&gt;"",M96="REACHABLE",N96&lt;&gt;"",O96&lt;&gt;"",Q96="PASS",R96="PASS",S96="PASS"),"READY","PENDING")</x:f>
        <x:v>PENDING</x:v>
      </x:c>
      <x:c r="U96" s="19" t="str"/>
    </x:row>
    <x:row r="97">
      <x:c r="A97" s="17" t="str">
        <x:v>HO-HUM-PRE-AI-SNAPSHOT-06</x:v>
      </x:c>
      <x:c r="B97" s="17" t="str">
        <x:v>HUMAN</x:v>
      </x:c>
      <x:c r="C97" s="17" t="str">
        <x:v>HUMAN_PRE_AI_SNAPSHOT</x:v>
      </x:c>
      <x:c r="D97" s="17" t="str"/>
      <x:c r="E97" s="19" t="str">
        <x:v>Pre-AI snapshot</x:v>
      </x:c>
      <x:c r="F97" s="19" t="str"/>
      <x:c r="G97" s="19" t="str"/>
      <x:c r="H97" s="19" t="str"/>
      <x:c r="I97" s="19" t="str"/>
      <x:c r="J97" s="20" t="str"/>
      <x:c r="K97" s="20" t="str"/>
      <x:c r="L97" s="20" t="str"/>
      <x:c r="M97" s="19" t="str">
        <x:v>PENDING</x:v>
      </x:c>
      <x:c r="N97" s="19" t="str"/>
      <x:c r="O97" s="19" t="str"/>
      <x:c r="P97" s="19" t="str"/>
      <x:c r="Q97" s="19" t="str">
        <x:v>PENDING</x:v>
      </x:c>
      <x:c r="R97" s="19" t="str">
        <x:v>PENDING</x:v>
      </x:c>
      <x:c r="S97" s="19" t="str">
        <x:v>PENDING</x:v>
      </x:c>
      <x:c r="T97" s="19" t="str">
        <x:f>IF(AND(E97&lt;&gt;"",F97&lt;&gt;"",G97&lt;&gt;"",H97&lt;&gt;"",I97&lt;&gt;"",K97&lt;&gt;"",L97&lt;&gt;"",M97="REACHABLE",N97&lt;&gt;"",O97&lt;&gt;"",Q97="PASS",R97="PASS",S97="PASS"),"READY","PENDING")</x:f>
        <x:v>PENDING</x:v>
      </x:c>
      <x:c r="U97" s="19" t="str"/>
    </x:row>
    <x:row r="98">
      <x:c r="A98" s="17" t="str">
        <x:v>HO-HUM-PRE-AI-SNAPSHOT-07</x:v>
      </x:c>
      <x:c r="B98" s="17" t="str">
        <x:v>HUMAN</x:v>
      </x:c>
      <x:c r="C98" s="17" t="str">
        <x:v>HUMAN_PRE_AI_SNAPSHOT</x:v>
      </x:c>
      <x:c r="D98" s="17" t="str"/>
      <x:c r="E98" s="19" t="str">
        <x:v>Pre-AI snapshot</x:v>
      </x:c>
      <x:c r="F98" s="19" t="str"/>
      <x:c r="G98" s="19" t="str"/>
      <x:c r="H98" s="19" t="str"/>
      <x:c r="I98" s="19" t="str"/>
      <x:c r="J98" s="20" t="str"/>
      <x:c r="K98" s="20" t="str"/>
      <x:c r="L98" s="20" t="str"/>
      <x:c r="M98" s="19" t="str">
        <x:v>PENDING</x:v>
      </x:c>
      <x:c r="N98" s="19" t="str"/>
      <x:c r="O98" s="19" t="str"/>
      <x:c r="P98" s="19" t="str"/>
      <x:c r="Q98" s="19" t="str">
        <x:v>PENDING</x:v>
      </x:c>
      <x:c r="R98" s="19" t="str">
        <x:v>PENDING</x:v>
      </x:c>
      <x:c r="S98" s="19" t="str">
        <x:v>PENDING</x:v>
      </x:c>
      <x:c r="T98" s="19" t="str">
        <x:f>IF(AND(E98&lt;&gt;"",F98&lt;&gt;"",G98&lt;&gt;"",H98&lt;&gt;"",I98&lt;&gt;"",K98&lt;&gt;"",L98&lt;&gt;"",M98="REACHABLE",N98&lt;&gt;"",O98&lt;&gt;"",Q98="PASS",R98="PASS",S98="PASS"),"READY","PENDING")</x:f>
        <x:v>PENDING</x:v>
      </x:c>
      <x:c r="U98" s="19" t="str"/>
    </x:row>
    <x:row r="99">
      <x:c r="A99" s="17" t="str">
        <x:v>HO-HUM-PRE-AI-SNAPSHOT-08</x:v>
      </x:c>
      <x:c r="B99" s="17" t="str">
        <x:v>HUMAN</x:v>
      </x:c>
      <x:c r="C99" s="17" t="str">
        <x:v>HUMAN_PRE_AI_SNAPSHOT</x:v>
      </x:c>
      <x:c r="D99" s="17" t="str"/>
      <x:c r="E99" s="19" t="str">
        <x:v>Pre-AI snapshot</x:v>
      </x:c>
      <x:c r="F99" s="19" t="str"/>
      <x:c r="G99" s="19" t="str"/>
      <x:c r="H99" s="19" t="str"/>
      <x:c r="I99" s="19" t="str"/>
      <x:c r="J99" s="20" t="str"/>
      <x:c r="K99" s="20" t="str"/>
      <x:c r="L99" s="20" t="str"/>
      <x:c r="M99" s="19" t="str">
        <x:v>PENDING</x:v>
      </x:c>
      <x:c r="N99" s="19" t="str"/>
      <x:c r="O99" s="19" t="str"/>
      <x:c r="P99" s="19" t="str"/>
      <x:c r="Q99" s="19" t="str">
        <x:v>PENDING</x:v>
      </x:c>
      <x:c r="R99" s="19" t="str">
        <x:v>PENDING</x:v>
      </x:c>
      <x:c r="S99" s="19" t="str">
        <x:v>PENDING</x:v>
      </x:c>
      <x:c r="T99" s="19" t="str">
        <x:f>IF(AND(E99&lt;&gt;"",F99&lt;&gt;"",G99&lt;&gt;"",H99&lt;&gt;"",I99&lt;&gt;"",K99&lt;&gt;"",L99&lt;&gt;"",M99="REACHABLE",N99&lt;&gt;"",O99&lt;&gt;"",Q99="PASS",R99="PASS",S99="PASS"),"READY","PENDING")</x:f>
        <x:v>PENDING</x:v>
      </x:c>
      <x:c r="U99" s="19" t="str"/>
    </x:row>
    <x:row r="100">
      <x:c r="A100" s="17" t="str">
        <x:v>HO-HUM-PRE-AI-SNAPSHOT-09</x:v>
      </x:c>
      <x:c r="B100" s="17" t="str">
        <x:v>HUMAN</x:v>
      </x:c>
      <x:c r="C100" s="17" t="str">
        <x:v>HUMAN_PRE_AI_SNAPSHOT</x:v>
      </x:c>
      <x:c r="D100" s="17" t="str"/>
      <x:c r="E100" s="19" t="str">
        <x:v>Pre-AI snapshot</x:v>
      </x:c>
      <x:c r="F100" s="19" t="str"/>
      <x:c r="G100" s="19" t="str"/>
      <x:c r="H100" s="19" t="str"/>
      <x:c r="I100" s="19" t="str"/>
      <x:c r="J100" s="20" t="str"/>
      <x:c r="K100" s="20" t="str"/>
      <x:c r="L100" s="20" t="str"/>
      <x:c r="M100" s="19" t="str">
        <x:v>PENDING</x:v>
      </x:c>
      <x:c r="N100" s="19" t="str"/>
      <x:c r="O100" s="19" t="str"/>
      <x:c r="P100" s="19" t="str"/>
      <x:c r="Q100" s="19" t="str">
        <x:v>PENDING</x:v>
      </x:c>
      <x:c r="R100" s="19" t="str">
        <x:v>PENDING</x:v>
      </x:c>
      <x:c r="S100" s="19" t="str">
        <x:v>PENDING</x:v>
      </x:c>
      <x:c r="T100" s="19" t="str">
        <x:f>IF(AND(E100&lt;&gt;"",F100&lt;&gt;"",G100&lt;&gt;"",H100&lt;&gt;"",I100&lt;&gt;"",K100&lt;&gt;"",L100&lt;&gt;"",M100="REACHABLE",N100&lt;&gt;"",O100&lt;&gt;"",Q100="PASS",R100="PASS",S100="PASS"),"READY","PENDING")</x:f>
        <x:v>PENDING</x:v>
      </x:c>
      <x:c r="U100" s="19" t="str"/>
    </x:row>
    <x:row r="101">
      <x:c r="A101" s="17" t="str">
        <x:v>HO-HUM-PRE-AI-SNAPSHOT-10</x:v>
      </x:c>
      <x:c r="B101" s="17" t="str">
        <x:v>HUMAN</x:v>
      </x:c>
      <x:c r="C101" s="17" t="str">
        <x:v>HUMAN_PRE_AI_SNAPSHOT</x:v>
      </x:c>
      <x:c r="D101" s="17" t="str"/>
      <x:c r="E101" s="19" t="str">
        <x:v>Pre-AI snapshot</x:v>
      </x:c>
      <x:c r="F101" s="19" t="str"/>
      <x:c r="G101" s="19" t="str"/>
      <x:c r="H101" s="19" t="str"/>
      <x:c r="I101" s="19" t="str"/>
      <x:c r="J101" s="20" t="str"/>
      <x:c r="K101" s="20" t="str"/>
      <x:c r="L101" s="20" t="str"/>
      <x:c r="M101" s="19" t="str">
        <x:v>PENDING</x:v>
      </x:c>
      <x:c r="N101" s="19" t="str"/>
      <x:c r="O101" s="19" t="str"/>
      <x:c r="P101" s="19" t="str"/>
      <x:c r="Q101" s="19" t="str">
        <x:v>PENDING</x:v>
      </x:c>
      <x:c r="R101" s="19" t="str">
        <x:v>PENDING</x:v>
      </x:c>
      <x:c r="S101" s="19" t="str">
        <x:v>PENDING</x:v>
      </x:c>
      <x:c r="T101" s="19" t="str">
        <x:f>IF(AND(E101&lt;&gt;"",F101&lt;&gt;"",G101&lt;&gt;"",H101&lt;&gt;"",I101&lt;&gt;"",K101&lt;&gt;"",L101&lt;&gt;"",M101="REACHABLE",N101&lt;&gt;"",O101&lt;&gt;"",Q101="PASS",R101="PASS",S101="PASS"),"READY","PENDING")</x:f>
        <x:v>PENDING</x:v>
      </x:c>
      <x:c r="U101" s="19" t="str"/>
    </x:row>
  </x:sheetData>
  <x:conditionalFormatting sqref="M2:M101">
    <x:cfRule type="containsText" dxfId="0" priority="1" operator="containsText" text="FAILED"/>
  </x:conditionalFormatting>
  <x:conditionalFormatting sqref="Q2:S101">
    <x:cfRule type="containsText" dxfId="1" priority="2" operator="containsText" text="FAIL"/>
  </x:conditionalFormatting>
  <x:conditionalFormatting sqref="T2:T101">
    <x:cfRule type="containsText" dxfId="2" priority="3" operator="containsText" text="READY"/>
  </x:conditionalFormatting>
  <x:dataValidations count="6">
    <x:dataValidation type="list" sqref="B2:B101">
      <x:formula1>"AI,HUMAN"</x:formula1>
    </x:dataValidation>
    <x:dataValidation type="list" sqref="H2:H101">
      <x:formula1>"official_builder_story,maker_statement,repository_deployment_mapping,archived_pre_ai_snapshot,independent_project_record,other_reviewed"</x:formula1>
    </x:dataValidation>
    <x:dataValidation type="list" sqref="M2:M101">
      <x:formula1>"PENDING,REACHABLE,FAILED,RETRY"</x:formula1>
    </x:dataValidation>
    <x:dataValidation type="list" sqref="Q2:Q101">
      <x:formula1>"PENDING,PASS,FAIL"</x:formula1>
    </x:dataValidation>
    <x:dataValidation type="list" sqref="R2:R101">
      <x:formula1>"PENDING,PASS,FAIL"</x:formula1>
    </x:dataValidation>
    <x:dataValidation type="list" sqref="S2:S101">
      <x:formula1>"PENDING,PASS,FAIL"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ac434891004a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34" hidden="0" customWidth="1"/>
    <x:col min="4" max="4" width="32" hidden="0" customWidth="1"/>
  </x:cols>
  <x:sheetData>
    <x:row r="1" ht="21.600000381469727" hidden="0" customHeight="1">
      <x:c r="A1" s="3" t="str">
        <x:v>Holdout protocol and field guide</x:v>
      </x:c>
      <x:c r="B1" s="3"/>
      <x:c r="C1" s="3"/>
      <x:c r="D1" s="3"/>
    </x:row>
    <x:row r="2"/>
    <x:row r="3" ht="15" hidden="0" customHeight="1">
      <x:c r="A3" s="21" t="str">
        <x:v>Rule</x:v>
      </x:c>
      <x:c r="B3" s="21" t="str">
        <x:v>Requirement</x:v>
      </x:c>
      <x:c r="C3" s="21" t="str">
        <x:v>Reason</x:v>
      </x:c>
      <x:c r="D3" s="21" t="str">
        <x:v>Gate</x:v>
      </x:c>
    </x:row>
    <x:row r="4" ht="26.399999618530273" hidden="0" customHeight="1">
      <x:c r="A4" s="22" t="str">
        <x:v>No development overlap</x:v>
      </x:c>
      <x:c r="B4" s="22" t="str">
        <x:v>Target URL and deployment must be absent from the existing 52-URL set</x:v>
      </x:c>
      <x:c r="C4" s="22" t="str">
        <x:v>Prevents tuning leakage</x:v>
      </x:c>
      <x:c r="D4" s="22" t="str">
        <x:v>development_overlap_check = PASS</x:v>
      </x:c>
    </x:row>
    <x:row r="5" ht="26.399999618530273" hidden="0" customHeight="1">
      <x:c r="A5" s="22" t="str">
        <x:v>No domain/project overlap</x:v>
      </x:c>
      <x:c r="B5" s="22" t="str">
        <x:v>No related domain, clone, project or organization across Development and Holdout</x:v>
      </x:c>
      <x:c r="C5" s="22" t="str">
        <x:v>Prevents family leakage</x:v>
      </x:c>
      <x:c r="D5" s="22" t="str">
        <x:v>domain_overlap_check = PASS</x:v>
      </x:c>
    </x:row>
    <x:row r="6" ht="15" hidden="0" customHeight="1">
      <x:c r="A6" s="22" t="str">
        <x:v>Independent provenance</x:v>
      </x:c>
      <x:c r="B6" s="22" t="str">
        <x:v>Provenance URL must be separate from the scanned target URL</x:v>
      </x:c>
      <x:c r="C6" s="22" t="str">
        <x:v>Prevents label extraction from target</x:v>
      </x:c>
      <x:c r="D6" s="22" t="str">
        <x:v>provenance_review = PASS</x:v>
      </x:c>
    </x:row>
    <x:row r="7" ht="15" hidden="0" customHeight="1">
      <x:c r="A7" s="22" t="str">
        <x:v>Concrete deployment mapping</x:v>
      </x:c>
      <x:c r="B7" s="22" t="str">
        <x:v>Evidence must refer to this exact website or project deployment</x:v>
      </x:c>
      <x:c r="C7" s="22" t="str">
        <x:v>Avoids directory-level proxy labels</x:v>
      </x:c>
      <x:c r="D7" s="22" t="str">
        <x:v>provenance_review = PASS</x:v>
      </x:c>
    </x:row>
    <x:row r="8" ht="26.399999618530273" hidden="0" customHeight="1">
      <x:c r="A8" s="22" t="str">
        <x:v>Reachability</x:v>
      </x:c>
      <x:c r="B8" s="22" t="str">
        <x:v>Public HTTPS target completes the pre-freeze reachability check</x:v>
      </x:c>
      <x:c r="C8" s="22" t="str">
        <x:v>Avoids technical errors dominating the holdout</x:v>
      </x:c>
      <x:c r="D8" s="22" t="str">
        <x:v>reachability_status = REACHABLE</x:v>
      </x:c>
    </x:row>
    <x:row r="9" ht="15" hidden="0" customHeight="1">
      <x:c r="A9" s="22" t="str">
        <x:v>Freeze before evaluation</x:v>
      </x:c>
      <x:c r="B9" s="22" t="str">
        <x:v>Manifest hash and scanner commit fixed before reading verdicts</x:v>
      </x:c>
      <x:c r="C9" s="22" t="str">
        <x:v>Preserves blind evaluation</x:v>
      </x:c>
      <x:c r="D9" s="22" t="str">
        <x:v>all rows READY</x:v>
      </x:c>
    </x:row>
    <x:row r="10" ht="15" hidden="0" customHeight="1">
      <x:c r="A10" s="22" t="str">
        <x:v>No post-open tuning</x:v>
      </x:c>
      <x:c r="B10" s="22" t="str">
        <x:v>Any rule change after results requires a new holdout</x:v>
      </x:c>
      <x:c r="C10" s="22" t="str">
        <x:v>Prevents reusing the test set</x:v>
      </x:c>
      <x:c r="D10" s="22" t="str">
        <x:v>new scanner version</x:v>
      </x:c>
    </x:row>
    <x:row r="11" ht="15" hidden="0" customHeight="1">
      <x:c r="A11" s="22"/>
      <x:c r="B11" s="22"/>
      <x:c r="C11" s="22"/>
      <x:c r="D11" s="22"/>
    </x:row>
    <x:row r="12" ht="15" hidden="0" customHeight="1">
      <x:c r="A12" s="22"/>
      <x:c r="B12" s="22"/>
      <x:c r="C12" s="22"/>
      <x:c r="D12" s="22"/>
    </x:row>
    <x:row r="13" ht="15" hidden="0" customHeight="1">
      <x:c r="A13" s="21" t="str">
        <x:v>Field</x:v>
      </x:c>
      <x:c r="B13" s="21" t="str">
        <x:v>Meaning</x:v>
      </x:c>
      <x:c r="C13" s="21" t="str">
        <x:v>Required for freeze</x:v>
      </x:c>
      <x:c r="D13" s="22"/>
    </x:row>
    <x:row r="14" ht="15" hidden="0" customHeight="1">
      <x:c r="A14" s="22" t="str">
        <x:v>sample_id</x:v>
      </x:c>
      <x:c r="B14" s="22" t="str">
        <x:v>Stable unique holdout identifier</x:v>
      </x:c>
      <x:c r="C14" s="22" t="str">
        <x:v>yes</x:v>
      </x:c>
      <x:c r="D14" s="22"/>
    </x:row>
    <x:row r="15" ht="15" hidden="0" customHeight="1">
      <x:c r="A15" s="22" t="str">
        <x:v>label</x:v>
      </x:c>
      <x:c r="B15" s="22" t="str">
        <x:v>AI or HUMAN Ground Truth</x:v>
      </x:c>
      <x:c r="C15" s="22" t="str">
        <x:v>yes</x:v>
      </x:c>
      <x:c r="D15" s="22"/>
    </x:row>
    <x:row r="16" ht="15" hidden="0" customHeight="1">
      <x:c r="A16" s="22" t="str">
        <x:v>target_group</x:v>
      </x:c>
      <x:c r="B16" s="22" t="str">
        <x:v>Preallocated sampling stratum</x:v>
      </x:c>
      <x:c r="C16" s="22" t="str">
        <x:v>yes</x:v>
      </x:c>
      <x:c r="D16" s="22"/>
    </x:row>
    <x:row r="17" ht="15" hidden="0" customHeight="1">
      <x:c r="A17" s="22" t="str">
        <x:v>builder</x:v>
      </x:c>
      <x:c r="B17" s="22" t="str">
        <x:v>AI builder/tool where applicable</x:v>
      </x:c>
      <x:c r="C17" s="22" t="str">
        <x:v>AI only</x:v>
      </x:c>
      <x:c r="D17" s="22"/>
    </x:row>
    <x:row r="18" ht="15" hidden="0" customHeight="1">
      <x:c r="A18" s="22" t="str">
        <x:v>website_type</x:v>
      </x:c>
      <x:c r="B18" s="22" t="str">
        <x:v>Matching bucket for site type</x:v>
      </x:c>
      <x:c r="C18" s="22" t="str">
        <x:v>yes</x:v>
      </x:c>
      <x:c r="D18" s="22"/>
    </x:row>
    <x:row r="19" ht="15" hidden="0" customHeight="1">
      <x:c r="A19" s="22" t="str">
        <x:v>target_url</x:v>
      </x:c>
      <x:c r="B19" s="22" t="str">
        <x:v>Exact public URL that will be scanned</x:v>
      </x:c>
      <x:c r="C19" s="22" t="str">
        <x:v>yes</x:v>
      </x:c>
      <x:c r="D19" s="22"/>
    </x:row>
    <x:row r="20" ht="15" hidden="0" customHeight="1">
      <x:c r="A20" s="22" t="str">
        <x:v>provenance_url</x:v>
      </x:c>
      <x:c r="B20" s="22" t="str">
        <x:v>Independent evidence source</x:v>
      </x:c>
      <x:c r="C20" s="22" t="str">
        <x:v>yes</x:v>
      </x:c>
      <x:c r="D20" s="22"/>
    </x:row>
    <x:row r="21" ht="15" hidden="0" customHeight="1">
      <x:c r="A21" s="22" t="str">
        <x:v>provenance_type</x:v>
      </x:c>
      <x:c r="B21" s="22" t="str">
        <x:v>Controlled evidence category</x:v>
      </x:c>
      <x:c r="C21" s="22" t="str">
        <x:v>yes</x:v>
      </x:c>
      <x:c r="D21" s="22"/>
    </x:row>
    <x:row r="22" ht="15" hidden="0" customHeight="1">
      <x:c r="A22" s="22" t="str">
        <x:v>provenance_summary</x:v>
      </x:c>
      <x:c r="B22" s="22" t="str">
        <x:v>Short audit summary; do not paste long quotes</x:v>
      </x:c>
      <x:c r="C22" s="22" t="str">
        <x:v>yes</x:v>
      </x:c>
      <x:c r="D22" s="22"/>
    </x:row>
    <x:row r="23" ht="15" hidden="0" customHeight="1">
      <x:c r="A23" s="22" t="str">
        <x:v>source_published_at</x:v>
      </x:c>
      <x:c r="B23" s="22" t="str">
        <x:v>Publication date where available</x:v>
      </x:c>
      <x:c r="C23" s="22" t="str">
        <x:v>recommended</x:v>
      </x:c>
      <x:c r="D23" s="22"/>
    </x:row>
    <x:row r="24" ht="15" hidden="0" customHeight="1">
      <x:c r="A24" s="22" t="str">
        <x:v>collected_at</x:v>
      </x:c>
      <x:c r="B24" s="22" t="str">
        <x:v>Acquisition date</x:v>
      </x:c>
      <x:c r="C24" s="22" t="str">
        <x:v>yes</x:v>
      </x:c>
      <x:c r="D24" s="22"/>
    </x:row>
    <x:row r="25" ht="15" hidden="0" customHeight="1">
      <x:c r="A25" s="22" t="str">
        <x:v>deployment_verified_at</x:v>
      </x:c>
      <x:c r="B25" s="22" t="str">
        <x:v>Last reachability verification</x:v>
      </x:c>
      <x:c r="C25" s="22" t="str">
        <x:v>yes</x:v>
      </x:c>
      <x:c r="D25" s="22"/>
    </x:row>
    <x:row r="26" ht="15" hidden="0" customHeight="1">
      <x:c r="A26" s="22" t="str">
        <x:v>reachability_status</x:v>
      </x:c>
      <x:c r="B26" s="22" t="str">
        <x:v>PENDING, REACHABLE, FAILED or RETRY</x:v>
      </x:c>
      <x:c r="C26" s="22" t="str">
        <x:v>yes</x:v>
      </x:c>
      <x:c r="D26" s="22"/>
    </x:row>
    <x:row r="27" ht="15" hidden="0" customHeight="1">
      <x:c r="A27" s="22" t="str">
        <x:v>domain_group</x:v>
      </x:c>
      <x:c r="B27" s="22" t="str">
        <x:v>eTLD+1; for multi-tenant hosting use the tenant hostname</x:v>
      </x:c>
      <x:c r="C27" s="22" t="str">
        <x:v>yes</x:v>
      </x:c>
      <x:c r="D27" s="22"/>
    </x:row>
    <x:row r="28" ht="15" hidden="0" customHeight="1">
      <x:c r="A28" s="22" t="str">
        <x:v>project_group</x:v>
      </x:c>
      <x:c r="B28" s="22" t="str">
        <x:v>Stable project/clone family</x:v>
      </x:c>
      <x:c r="C28" s="22" t="str">
        <x:v>yes</x:v>
      </x:c>
      <x:c r="D28" s="22"/>
    </x:row>
    <x:row r="29" ht="15" hidden="0" customHeight="1">
      <x:c r="A29" s="22" t="str">
        <x:v>organization_group</x:v>
      </x:c>
      <x:c r="B29" s="22" t="str">
        <x:v>Maker/company/organization family</x:v>
      </x:c>
      <x:c r="C29" s="22" t="str">
        <x:v>recommended</x:v>
      </x:c>
      <x:c r="D29" s="22"/>
    </x:row>
    <x:row r="30" ht="15" hidden="0" customHeight="1">
      <x:c r="A30" s="22" t="str">
        <x:v>development_overlap_check</x:v>
      </x:c>
      <x:c r="B30" s="22" t="str">
        <x:v>PASS only after comparison with Development set</x:v>
      </x:c>
      <x:c r="C30" s="22" t="str">
        <x:v>yes</x:v>
      </x:c>
      <x:c r="D30" s="22"/>
    </x:row>
    <x:row r="31" ht="15" hidden="0" customHeight="1">
      <x:c r="A31" s="22" t="str">
        <x:v>domain_overlap_check</x:v>
      </x:c>
      <x:c r="B31" s="22" t="str">
        <x:v>PASS only after domain/project/org review</x:v>
      </x:c>
      <x:c r="C31" s="22" t="str">
        <x:v>yes</x:v>
      </x:c>
      <x:c r="D31" s="22"/>
    </x:row>
    <x:row r="32" ht="15" hidden="0" customHeight="1">
      <x:c r="A32" s="22" t="str">
        <x:v>provenance_review</x:v>
      </x:c>
      <x:c r="B32" s="22" t="str">
        <x:v>PASS only after evidence review</x:v>
      </x:c>
      <x:c r="C32" s="22" t="str">
        <x:v>yes</x:v>
      </x:c>
      <x:c r="D32" s="22"/>
    </x:row>
    <x:row r="33" ht="15" hidden="0" customHeight="1">
      <x:c r="A33" s="22" t="str">
        <x:v>freeze_status</x:v>
      </x:c>
      <x:c r="B33" s="22" t="str">
        <x:v>Formula-derived READY or PENDING</x:v>
      </x:c>
      <x:c r="C33" s="22" t="str">
        <x:v>yes</x:v>
      </x:c>
      <x:c r="D33" s="22"/>
    </x:row>
    <x:row r="34" ht="15" hidden="0" customHeight="1">
      <x:c r="A34" s="22" t="str">
        <x:v>notes</x:v>
      </x:c>
      <x:c r="B34" s="22" t="str">
        <x:v>Compact exceptions and review notes</x:v>
      </x:c>
      <x:c r="C34" s="22" t="str">
        <x:v>optional</x:v>
      </x:c>
      <x:c r="D34" s="2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09999656677246" hidden="0" customWidth="1"/>
    <x:col min="2" max="2" width="7.670000076293945" hidden="0" customWidth="1"/>
    <x:col min="3" max="3" width="24.440000534057617" hidden="0" customWidth="1"/>
    <x:col min="4" max="4" width="6.559999942779541" hidden="0" customWidth="1"/>
  </x:cols>
  <x:sheetData>
    <x:row r="1">
      <x:c r="A1" s="8" t="str">
        <x:v>Reachability</x:v>
      </x:c>
      <x:c r="B1" s="8" t="str">
        <x:v>Review</x:v>
      </x:c>
      <x:c r="C1" s="8" t="str">
        <x:v>Provenance type</x:v>
      </x:c>
      <x:c r="D1" s="8" t="str">
        <x:v>Label</x:v>
      </x:c>
    </x:row>
    <x:row r="2">
      <x:c r="A2" t="str">
        <x:v>PENDING</x:v>
      </x:c>
      <x:c r="B2" t="str">
        <x:v>PENDING</x:v>
      </x:c>
      <x:c r="C2" t="str">
        <x:v>official_builder_story</x:v>
      </x:c>
      <x:c r="D2" t="str">
        <x:v>AI</x:v>
      </x:c>
    </x:row>
    <x:row r="3">
      <x:c r="A3" t="str">
        <x:v>REACHABLE</x:v>
      </x:c>
      <x:c r="B3" t="str">
        <x:v>PASS</x:v>
      </x:c>
      <x:c r="C3" t="str">
        <x:v>maker_statement</x:v>
      </x:c>
      <x:c r="D3" t="str">
        <x:v>HUMAN</x:v>
      </x:c>
    </x:row>
    <x:row r="4">
      <x:c r="A4" t="str">
        <x:v>FAILED</x:v>
      </x:c>
      <x:c r="B4" t="str">
        <x:v>FAIL</x:v>
      </x:c>
      <x:c r="C4" t="str">
        <x:v>repository_deployment_mapping</x:v>
      </x:c>
      <x:c r="D4" t="str"/>
    </x:row>
    <x:row r="5">
      <x:c r="A5" t="str">
        <x:v>RETRY</x:v>
      </x:c>
      <x:c r="B5" t="str"/>
      <x:c r="C5" t="str">
        <x:v>archived_pre_ai_snapshot</x:v>
      </x:c>
      <x:c r="D5" t="str"/>
    </x:row>
    <x:row r="6">
      <x:c r="A6" t="str"/>
      <x:c r="B6" t="str"/>
      <x:c r="C6" t="str">
        <x:v>independent_project_record</x:v>
      </x:c>
      <x:c r="D6" t="str"/>
    </x:row>
    <x:row r="7">
      <x:c r="A7" t="str"/>
      <x:c r="B7" t="str"/>
      <x:c r="C7" t="str">
        <x:v>other_reviewed</x:v>
      </x:c>
      <x:c r="D7" t="str"/>
    </x:row>
    <x:row r="8">
      <x:c r="A8" t="str"/>
      <x:c r="B8" t="str"/>
      <x:c r="C8" t="str"/>
      <x:c r="D8" t="str"/>
    </x:row>
  </x:sheetData>
  <x:pageMargins left="0.7" right="0.7" top="0.75" bottom="0.75" header="0.3" footer="0.3"/>
</x:worksheet>
</file>